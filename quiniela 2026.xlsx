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M\Documents\quiniela 2026\"/>
    </mc:Choice>
  </mc:AlternateContent>
  <xr:revisionPtr revIDLastSave="0" documentId="13_ncr:1_{7C311687-9E7F-4783-B536-1EEF6E3706C1}" xr6:coauthVersionLast="47" xr6:coauthVersionMax="47" xr10:uidLastSave="{00000000-0000-0000-0000-000000000000}"/>
  <bookViews>
    <workbookView xWindow="-108" yWindow="-108" windowWidth="23256" windowHeight="12456" xr2:uid="{86F46D33-46F5-4C05-9B4A-450C8BD481AC}"/>
  </bookViews>
  <sheets>
    <sheet name="Calend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5" i="1" l="1"/>
  <c r="T64" i="1"/>
  <c r="T66" i="1"/>
  <c r="S67" i="1"/>
  <c r="T67" i="1"/>
  <c r="S65" i="1"/>
  <c r="S66" i="1"/>
  <c r="S64" i="1"/>
  <c r="U65" i="1" l="1"/>
  <c r="U64" i="1"/>
  <c r="U66" i="1"/>
  <c r="U67" i="1"/>
  <c r="M17" i="1" l="1"/>
  <c r="L18" i="1"/>
  <c r="M19" i="1"/>
  <c r="M22" i="1"/>
  <c r="L25" i="1"/>
  <c r="M25" i="1"/>
  <c r="L30" i="1"/>
  <c r="M31" i="1"/>
  <c r="L32" i="1"/>
  <c r="L33" i="1"/>
  <c r="M38" i="1"/>
  <c r="L47" i="1"/>
  <c r="M48" i="1"/>
  <c r="L51" i="1"/>
  <c r="M52" i="1"/>
  <c r="L53" i="1"/>
  <c r="M54" i="1"/>
  <c r="L59" i="1"/>
  <c r="L60" i="1"/>
  <c r="L61" i="1"/>
  <c r="M68" i="1"/>
  <c r="L69" i="1"/>
  <c r="M70" i="1"/>
  <c r="L74" i="1"/>
  <c r="L76" i="1"/>
  <c r="L79" i="1"/>
  <c r="M80" i="1"/>
  <c r="L83" i="1"/>
  <c r="L28" i="1"/>
  <c r="L42" i="1"/>
  <c r="X63" i="1"/>
  <c r="L15" i="1"/>
  <c r="M15" i="1"/>
  <c r="L16" i="1"/>
  <c r="M16" i="1"/>
  <c r="L17" i="1"/>
  <c r="L21" i="1"/>
  <c r="M21" i="1"/>
  <c r="L22" i="1"/>
  <c r="M23" i="1"/>
  <c r="M24" i="1"/>
  <c r="M28" i="1"/>
  <c r="L29" i="1"/>
  <c r="M29" i="1"/>
  <c r="L35" i="1"/>
  <c r="M35" i="1"/>
  <c r="L36" i="1"/>
  <c r="M36" i="1"/>
  <c r="M42" i="1"/>
  <c r="L43" i="1"/>
  <c r="M43" i="1"/>
  <c r="L44" i="1"/>
  <c r="M44" i="1"/>
  <c r="L45" i="1"/>
  <c r="M45" i="1"/>
  <c r="L46" i="1"/>
  <c r="M46" i="1"/>
  <c r="M47" i="1"/>
  <c r="L48" i="1"/>
  <c r="L49" i="1"/>
  <c r="M49" i="1"/>
  <c r="L50" i="1"/>
  <c r="M50" i="1"/>
  <c r="L56" i="1"/>
  <c r="M56" i="1"/>
  <c r="L57" i="1"/>
  <c r="M57" i="1"/>
  <c r="L58" i="1"/>
  <c r="M58" i="1"/>
  <c r="L63" i="1"/>
  <c r="M63" i="1"/>
  <c r="L64" i="1"/>
  <c r="M64" i="1"/>
  <c r="M66" i="1"/>
  <c r="L68" i="1"/>
  <c r="L70" i="1"/>
  <c r="L71" i="1"/>
  <c r="M71" i="1"/>
  <c r="L72" i="1"/>
  <c r="M72" i="1"/>
  <c r="L73" i="1"/>
  <c r="M73" i="1"/>
  <c r="M74" i="1"/>
  <c r="L75" i="1"/>
  <c r="M76" i="1"/>
  <c r="L77" i="1"/>
  <c r="M77" i="1"/>
  <c r="L78" i="1"/>
  <c r="M78" i="1"/>
  <c r="L84" i="1"/>
  <c r="M84" i="1"/>
  <c r="L85" i="1"/>
  <c r="M85" i="1"/>
  <c r="V66" i="1" l="1"/>
  <c r="Q66" i="1"/>
  <c r="R66" i="1"/>
  <c r="P66" i="1"/>
  <c r="P67" i="1"/>
  <c r="R67" i="1"/>
  <c r="Q67" i="1"/>
  <c r="V67" i="1"/>
  <c r="M75" i="1"/>
  <c r="M34" i="1"/>
  <c r="M62" i="1"/>
  <c r="M33" i="1"/>
  <c r="M83" i="1"/>
  <c r="V87" i="1" s="1"/>
  <c r="M20" i="1"/>
  <c r="M60" i="1"/>
  <c r="L31" i="1"/>
  <c r="L19" i="1"/>
  <c r="P29" i="1" s="1"/>
  <c r="L34" i="1"/>
  <c r="L62" i="1"/>
  <c r="Q18" i="1" s="1"/>
  <c r="M32" i="1"/>
  <c r="M61" i="1"/>
  <c r="P94" i="1" s="1"/>
  <c r="L20" i="1"/>
  <c r="M30" i="1"/>
  <c r="M18" i="1"/>
  <c r="M59" i="1"/>
  <c r="L81" i="1"/>
  <c r="L67" i="1"/>
  <c r="P30" i="1" s="1"/>
  <c r="M53" i="1"/>
  <c r="R65" i="1" s="1"/>
  <c r="L39" i="1"/>
  <c r="L80" i="1"/>
  <c r="L52" i="1"/>
  <c r="Q64" i="1" s="1"/>
  <c r="L38" i="1"/>
  <c r="L24" i="1"/>
  <c r="P50" i="1" s="1"/>
  <c r="M67" i="1"/>
  <c r="M82" i="1"/>
  <c r="M65" i="1"/>
  <c r="L82" i="1"/>
  <c r="P88" i="1" s="1"/>
  <c r="L65" i="1"/>
  <c r="L40" i="1"/>
  <c r="P22" i="1" s="1"/>
  <c r="M79" i="1"/>
  <c r="M39" i="1"/>
  <c r="L54" i="1"/>
  <c r="Q71" i="1" s="1"/>
  <c r="M27" i="1"/>
  <c r="Q60" i="1" s="1"/>
  <c r="M41" i="1"/>
  <c r="L27" i="1"/>
  <c r="Q59" i="1" s="1"/>
  <c r="M55" i="1"/>
  <c r="L41" i="1"/>
  <c r="M26" i="1"/>
  <c r="M69" i="1"/>
  <c r="P38" i="1" s="1"/>
  <c r="L55" i="1"/>
  <c r="P74" i="1" s="1"/>
  <c r="M40" i="1"/>
  <c r="L26" i="1"/>
  <c r="P57" i="1" s="1"/>
  <c r="M81" i="1"/>
  <c r="P80" i="1" s="1"/>
  <c r="M37" i="1"/>
  <c r="P96" i="1" s="1"/>
  <c r="L23" i="1"/>
  <c r="Q45" i="1" s="1"/>
  <c r="M51" i="1"/>
  <c r="L37" i="1"/>
  <c r="P95" i="1" s="1"/>
  <c r="L66" i="1"/>
  <c r="L14" i="1"/>
  <c r="M14" i="1"/>
  <c r="P33" i="1"/>
  <c r="S37" i="1"/>
  <c r="S93" i="1"/>
  <c r="P82" i="1"/>
  <c r="S17" i="1"/>
  <c r="S30" i="1"/>
  <c r="P17" i="1"/>
  <c r="S26" i="1"/>
  <c r="S88" i="1"/>
  <c r="S33" i="1"/>
  <c r="S73" i="1"/>
  <c r="P37" i="1"/>
  <c r="P52" i="1"/>
  <c r="S96" i="1"/>
  <c r="S22" i="1"/>
  <c r="S31" i="1"/>
  <c r="S53" i="1"/>
  <c r="S95" i="1"/>
  <c r="S38" i="1"/>
  <c r="S86" i="1"/>
  <c r="S25" i="1"/>
  <c r="P44" i="1"/>
  <c r="S51" i="1"/>
  <c r="S32" i="1"/>
  <c r="S87" i="1"/>
  <c r="S40" i="1"/>
  <c r="S43" i="1"/>
  <c r="S94" i="1"/>
  <c r="S75" i="1"/>
  <c r="S29" i="1"/>
  <c r="S81" i="1"/>
  <c r="S71" i="1"/>
  <c r="P61" i="1"/>
  <c r="S60" i="1"/>
  <c r="S46" i="1"/>
  <c r="S59" i="1"/>
  <c r="P43" i="1"/>
  <c r="S47" i="1"/>
  <c r="S36" i="1"/>
  <c r="S74" i="1"/>
  <c r="S80" i="1"/>
  <c r="S50" i="1"/>
  <c r="P51" i="1"/>
  <c r="S24" i="1"/>
  <c r="S39" i="1"/>
  <c r="S79" i="1"/>
  <c r="S85" i="1"/>
  <c r="P47" i="1"/>
  <c r="P78" i="1"/>
  <c r="P53" i="1"/>
  <c r="P39" i="1"/>
  <c r="S90" i="1"/>
  <c r="P93" i="1"/>
  <c r="P40" i="1"/>
  <c r="P46" i="1"/>
  <c r="P36" i="1"/>
  <c r="S15" i="1"/>
  <c r="S45" i="1"/>
  <c r="S58" i="1"/>
  <c r="P54" i="1"/>
  <c r="S82" i="1"/>
  <c r="S57" i="1"/>
  <c r="S72" i="1"/>
  <c r="S18" i="1"/>
  <c r="V78" i="1"/>
  <c r="P75" i="1"/>
  <c r="P26" i="1"/>
  <c r="P19" i="1"/>
  <c r="V93" i="1"/>
  <c r="S44" i="1"/>
  <c r="V43" i="1"/>
  <c r="S19" i="1"/>
  <c r="S23" i="1"/>
  <c r="S61" i="1"/>
  <c r="V36" i="1"/>
  <c r="Q33" i="1"/>
  <c r="T82" i="1"/>
  <c r="Q19" i="1"/>
  <c r="T86" i="1"/>
  <c r="V90" i="1"/>
  <c r="T75" i="1"/>
  <c r="T24" i="1"/>
  <c r="R93" i="1"/>
  <c r="R78" i="1"/>
  <c r="R82" i="1"/>
  <c r="T29" i="1"/>
  <c r="Q40" i="1"/>
  <c r="T54" i="1"/>
  <c r="T72" i="1"/>
  <c r="R36" i="1"/>
  <c r="T32" i="1"/>
  <c r="R40" i="1"/>
  <c r="R54" i="1"/>
  <c r="V17" i="1"/>
  <c r="T44" i="1"/>
  <c r="T53" i="1"/>
  <c r="T39" i="1"/>
  <c r="T50" i="1"/>
  <c r="T87" i="1"/>
  <c r="Q78" i="1"/>
  <c r="Q52" i="1"/>
  <c r="T22" i="1"/>
  <c r="R51" i="1"/>
  <c r="Q53" i="1"/>
  <c r="T58" i="1"/>
  <c r="T95" i="1"/>
  <c r="V54" i="1"/>
  <c r="T52" i="1"/>
  <c r="Q51" i="1"/>
  <c r="Q43" i="1"/>
  <c r="T25" i="1"/>
  <c r="Q26" i="1"/>
  <c r="R60" i="1"/>
  <c r="T81" i="1"/>
  <c r="V46" i="1"/>
  <c r="T78" i="1"/>
  <c r="T59" i="1"/>
  <c r="T36" i="1"/>
  <c r="T88" i="1"/>
  <c r="R26" i="1"/>
  <c r="Q82" i="1"/>
  <c r="R53" i="1"/>
  <c r="T93" i="1"/>
  <c r="T45" i="1"/>
  <c r="V94" i="1"/>
  <c r="V82" i="1"/>
  <c r="V60" i="1"/>
  <c r="Q93" i="1"/>
  <c r="T17" i="1"/>
  <c r="V75" i="1"/>
  <c r="T43" i="1"/>
  <c r="V19" i="1"/>
  <c r="V51" i="1"/>
  <c r="T73" i="1"/>
  <c r="Q96" i="1"/>
  <c r="T61" i="1"/>
  <c r="R61" i="1"/>
  <c r="Q46" i="1"/>
  <c r="Q44" i="1"/>
  <c r="R17" i="1"/>
  <c r="Q61" i="1"/>
  <c r="T94" i="1"/>
  <c r="T38" i="1"/>
  <c r="V47" i="1"/>
  <c r="R24" i="1"/>
  <c r="R43" i="1"/>
  <c r="T51" i="1"/>
  <c r="Q37" i="1"/>
  <c r="V26" i="1"/>
  <c r="T30" i="1"/>
  <c r="T26" i="1"/>
  <c r="T57" i="1"/>
  <c r="T74" i="1"/>
  <c r="V40" i="1"/>
  <c r="T23" i="1"/>
  <c r="T31" i="1"/>
  <c r="V39" i="1"/>
  <c r="V52" i="1"/>
  <c r="Q54" i="1"/>
  <c r="T18" i="1"/>
  <c r="T40" i="1"/>
  <c r="T16" i="1"/>
  <c r="V33" i="1"/>
  <c r="T71" i="1"/>
  <c r="T85" i="1"/>
  <c r="R52" i="1"/>
  <c r="T90" i="1"/>
  <c r="T46" i="1"/>
  <c r="T96" i="1"/>
  <c r="R33" i="1"/>
  <c r="Q47" i="1"/>
  <c r="V44" i="1"/>
  <c r="R75" i="1"/>
  <c r="Q87" i="1"/>
  <c r="R44" i="1"/>
  <c r="V37" i="1"/>
  <c r="T79" i="1"/>
  <c r="Q39" i="1"/>
  <c r="R39" i="1"/>
  <c r="R47" i="1"/>
  <c r="R46" i="1"/>
  <c r="T15" i="1"/>
  <c r="R90" i="1"/>
  <c r="Q90" i="1"/>
  <c r="Q36" i="1"/>
  <c r="R19" i="1"/>
  <c r="T47" i="1"/>
  <c r="T80" i="1"/>
  <c r="Q75" i="1"/>
  <c r="V61" i="1"/>
  <c r="T37" i="1"/>
  <c r="T60" i="1"/>
  <c r="Q16" i="1"/>
  <c r="R37" i="1"/>
  <c r="T33" i="1"/>
  <c r="V53" i="1"/>
  <c r="Q17" i="1"/>
  <c r="T19" i="1"/>
  <c r="P90" i="1"/>
  <c r="S54" i="1"/>
  <c r="S16" i="1"/>
  <c r="S78" i="1"/>
  <c r="S52" i="1"/>
  <c r="Q94" i="1" l="1"/>
  <c r="Q24" i="1"/>
  <c r="V15" i="1"/>
  <c r="P24" i="1"/>
  <c r="Q31" i="1"/>
  <c r="V73" i="1"/>
  <c r="Q79" i="1"/>
  <c r="R81" i="1"/>
  <c r="Q15" i="1"/>
  <c r="R18" i="1"/>
  <c r="V23" i="1"/>
  <c r="Q86" i="1"/>
  <c r="Q72" i="1"/>
  <c r="R50" i="1"/>
  <c r="P58" i="1"/>
  <c r="V80" i="1"/>
  <c r="R88" i="1"/>
  <c r="R85" i="1"/>
  <c r="V59" i="1"/>
  <c r="R96" i="1"/>
  <c r="O96" i="1" s="1"/>
  <c r="V30" i="1"/>
  <c r="Q88" i="1"/>
  <c r="P87" i="1"/>
  <c r="V86" i="1"/>
  <c r="R30" i="1"/>
  <c r="R86" i="1"/>
  <c r="R94" i="1"/>
  <c r="R38" i="1"/>
  <c r="V50" i="1"/>
  <c r="R87" i="1"/>
  <c r="Q29" i="1"/>
  <c r="V88" i="1"/>
  <c r="R23" i="1"/>
  <c r="Q25" i="1"/>
  <c r="R71" i="1"/>
  <c r="V32" i="1"/>
  <c r="Q73" i="1"/>
  <c r="V31" i="1"/>
  <c r="O67" i="1"/>
  <c r="Q50" i="1"/>
  <c r="R64" i="1"/>
  <c r="P64" i="1"/>
  <c r="R32" i="1"/>
  <c r="Q57" i="1"/>
  <c r="R59" i="1"/>
  <c r="P59" i="1"/>
  <c r="V65" i="1"/>
  <c r="R57" i="1"/>
  <c r="P65" i="1"/>
  <c r="Q65" i="1"/>
  <c r="Q22" i="1"/>
  <c r="V64" i="1"/>
  <c r="V24" i="1"/>
  <c r="P60" i="1"/>
  <c r="O60" i="1" s="1"/>
  <c r="O66" i="1"/>
  <c r="R80" i="1"/>
  <c r="Q30" i="1"/>
  <c r="V57" i="1"/>
  <c r="R74" i="1"/>
  <c r="V72" i="1"/>
  <c r="R29" i="1"/>
  <c r="Q80" i="1"/>
  <c r="P45" i="1"/>
  <c r="V96" i="1"/>
  <c r="V18" i="1"/>
  <c r="P32" i="1"/>
  <c r="R73" i="1"/>
  <c r="Q81" i="1"/>
  <c r="R16" i="1"/>
  <c r="Q95" i="1"/>
  <c r="Q38" i="1"/>
  <c r="Q23" i="1"/>
  <c r="P25" i="1"/>
  <c r="P23" i="1"/>
  <c r="P86" i="1"/>
  <c r="Q58" i="1"/>
  <c r="P81" i="1"/>
  <c r="V22" i="1"/>
  <c r="P73" i="1"/>
  <c r="P18" i="1"/>
  <c r="V81" i="1"/>
  <c r="R22" i="1"/>
  <c r="P79" i="1"/>
  <c r="R15" i="1"/>
  <c r="Q32" i="1"/>
  <c r="V29" i="1"/>
  <c r="Q85" i="1"/>
  <c r="V79" i="1"/>
  <c r="R25" i="1"/>
  <c r="V38" i="1"/>
  <c r="V85" i="1"/>
  <c r="P15" i="1"/>
  <c r="R79" i="1"/>
  <c r="V58" i="1"/>
  <c r="V45" i="1"/>
  <c r="V95" i="1"/>
  <c r="P71" i="1"/>
  <c r="P72" i="1"/>
  <c r="R45" i="1"/>
  <c r="R95" i="1"/>
  <c r="P85" i="1"/>
  <c r="U71" i="1"/>
  <c r="R72" i="1"/>
  <c r="R58" i="1"/>
  <c r="V71" i="1"/>
  <c r="P16" i="1"/>
  <c r="V16" i="1"/>
  <c r="Q74" i="1"/>
  <c r="V25" i="1"/>
  <c r="U32" i="1"/>
  <c r="U17" i="1"/>
  <c r="U51" i="1"/>
  <c r="U80" i="1"/>
  <c r="R31" i="1"/>
  <c r="U36" i="1"/>
  <c r="U74" i="1"/>
  <c r="U81" i="1"/>
  <c r="V74" i="1"/>
  <c r="U52" i="1"/>
  <c r="U61" i="1"/>
  <c r="U15" i="1"/>
  <c r="U93" i="1"/>
  <c r="U96" i="1"/>
  <c r="U30" i="1"/>
  <c r="U25" i="1"/>
  <c r="U90" i="1"/>
  <c r="U60" i="1"/>
  <c r="O19" i="1"/>
  <c r="U16" i="1"/>
  <c r="O46" i="1"/>
  <c r="O24" i="1"/>
  <c r="U47" i="1"/>
  <c r="U24" i="1"/>
  <c r="U79" i="1"/>
  <c r="U86" i="1"/>
  <c r="O36" i="1"/>
  <c r="U46" i="1"/>
  <c r="O54" i="1"/>
  <c r="U58" i="1"/>
  <c r="U78" i="1"/>
  <c r="U31" i="1"/>
  <c r="O40" i="1"/>
  <c r="U75" i="1"/>
  <c r="U72" i="1"/>
  <c r="U39" i="1"/>
  <c r="U38" i="1"/>
  <c r="O33" i="1"/>
  <c r="U19" i="1"/>
  <c r="O93" i="1"/>
  <c r="U43" i="1"/>
  <c r="O43" i="1"/>
  <c r="U82" i="1"/>
  <c r="U94" i="1"/>
  <c r="U53" i="1"/>
  <c r="O51" i="1"/>
  <c r="U88" i="1"/>
  <c r="U45" i="1"/>
  <c r="O53" i="1"/>
  <c r="U22" i="1"/>
  <c r="O17" i="1"/>
  <c r="U50" i="1"/>
  <c r="O61" i="1"/>
  <c r="U54" i="1"/>
  <c r="U59" i="1"/>
  <c r="U95" i="1"/>
  <c r="O52" i="1"/>
  <c r="O26" i="1"/>
  <c r="O78" i="1"/>
  <c r="U87" i="1"/>
  <c r="U44" i="1"/>
  <c r="U23" i="1"/>
  <c r="O47" i="1"/>
  <c r="O82" i="1"/>
  <c r="U85" i="1"/>
  <c r="O37" i="1"/>
  <c r="O39" i="1"/>
  <c r="U29" i="1"/>
  <c r="O44" i="1"/>
  <c r="U73" i="1"/>
  <c r="U37" i="1"/>
  <c r="O90" i="1"/>
  <c r="O75" i="1"/>
  <c r="U57" i="1"/>
  <c r="U26" i="1"/>
  <c r="U40" i="1"/>
  <c r="U18" i="1"/>
  <c r="U33" i="1"/>
  <c r="P31" i="1"/>
  <c r="O71" i="1" l="1"/>
  <c r="O87" i="1"/>
  <c r="O88" i="1"/>
  <c r="O18" i="1"/>
  <c r="O94" i="1"/>
  <c r="O86" i="1"/>
  <c r="O57" i="1"/>
  <c r="O38" i="1"/>
  <c r="AH22" i="1" s="1" a="1"/>
  <c r="F103" i="1" s="1"/>
  <c r="O50" i="1"/>
  <c r="AH29" i="1" s="1" a="1"/>
  <c r="I91" i="1" s="1"/>
  <c r="F108" i="1" s="1"/>
  <c r="O45" i="1"/>
  <c r="X29" i="1" s="1" a="1"/>
  <c r="F93" i="1" s="1"/>
  <c r="I108" i="1" s="1"/>
  <c r="F118" i="1" s="1"/>
  <c r="F123" i="1" s="1"/>
  <c r="I125" i="1" s="1"/>
  <c r="O30" i="1"/>
  <c r="O64" i="1"/>
  <c r="O29" i="1"/>
  <c r="O22" i="1"/>
  <c r="O80" i="1"/>
  <c r="O59" i="1"/>
  <c r="O65" i="1"/>
  <c r="O74" i="1"/>
  <c r="O95" i="1"/>
  <c r="AH50" i="1" s="1" a="1"/>
  <c r="I98" i="1" s="1"/>
  <c r="O73" i="1"/>
  <c r="O81" i="1"/>
  <c r="O32" i="1"/>
  <c r="O25" i="1"/>
  <c r="O16" i="1"/>
  <c r="O23" i="1"/>
  <c r="O15" i="1"/>
  <c r="O85" i="1"/>
  <c r="X50" i="1" s="1" a="1"/>
  <c r="X50" i="1" s="1"/>
  <c r="O79" i="1"/>
  <c r="O58" i="1"/>
  <c r="O72" i="1"/>
  <c r="O31" i="1"/>
  <c r="AV24" i="1" l="1"/>
  <c r="AH36" i="1" a="1"/>
  <c r="I101" i="1" s="1"/>
  <c r="X36" i="1" a="1"/>
  <c r="I103" i="1" s="1"/>
  <c r="I112" i="1" s="1"/>
  <c r="F119" i="1" s="1"/>
  <c r="I123" i="1" s="1"/>
  <c r="I128" i="1" s="1"/>
  <c r="K134" i="1" s="1"/>
  <c r="X43" i="1" a="1"/>
  <c r="I93" i="1" s="1"/>
  <c r="X15" i="1" a="1"/>
  <c r="AH43" i="1" a="1"/>
  <c r="AH15" i="1" a="1"/>
  <c r="X22" i="1" a="1"/>
  <c r="I90" i="1" s="1"/>
  <c r="AS17" i="1"/>
  <c r="AU19" i="1"/>
  <c r="AS18" i="1"/>
  <c r="AV25" i="1"/>
  <c r="AT25" i="1"/>
  <c r="AH50" i="1"/>
  <c r="F95" i="1" s="1"/>
  <c r="AS25" i="1"/>
  <c r="AU25" i="1"/>
  <c r="AU18" i="1"/>
  <c r="X29" i="1"/>
  <c r="F89" i="1" s="1"/>
  <c r="AV18" i="1"/>
  <c r="AT18" i="1"/>
  <c r="AS19" i="1"/>
  <c r="AV19" i="1"/>
  <c r="AU17" i="1"/>
  <c r="AH22" i="1"/>
  <c r="F96" i="1" s="1"/>
  <c r="AT19" i="1"/>
  <c r="AT17" i="1"/>
  <c r="AH29" i="1"/>
  <c r="F90" i="1" s="1"/>
  <c r="AV17" i="1"/>
  <c r="AS24" i="1" l="1"/>
  <c r="AU24" i="1"/>
  <c r="F98" i="1"/>
  <c r="F110" i="1" s="1"/>
  <c r="F117" i="1" s="1"/>
  <c r="AT24" i="1"/>
  <c r="F102" i="1"/>
  <c r="AH36" i="1"/>
  <c r="F99" i="1" s="1"/>
  <c r="I110" i="1" s="1"/>
  <c r="AU21" i="1"/>
  <c r="AS21" i="1"/>
  <c r="AT21" i="1"/>
  <c r="AV21" i="1"/>
  <c r="I107" i="1"/>
  <c r="I116" i="1" s="1"/>
  <c r="X36" i="1"/>
  <c r="F97" i="1" s="1"/>
  <c r="I111" i="1" s="1"/>
  <c r="I117" i="1" s="1"/>
  <c r="I122" i="1" s="1"/>
  <c r="F125" i="1" s="1"/>
  <c r="K130" i="1" s="1"/>
  <c r="AT20" i="1"/>
  <c r="AU20" i="1"/>
  <c r="AS20" i="1"/>
  <c r="AV20" i="1"/>
  <c r="F88" i="1"/>
  <c r="F107" i="1" s="1"/>
  <c r="X43" i="1"/>
  <c r="F92" i="1" s="1"/>
  <c r="I106" i="1" s="1"/>
  <c r="AV22" i="1"/>
  <c r="AU22" i="1"/>
  <c r="AS22" i="1"/>
  <c r="AT22" i="1"/>
  <c r="AU23" i="1"/>
  <c r="AT23" i="1"/>
  <c r="I99" i="1"/>
  <c r="AH43" i="1"/>
  <c r="F101" i="1" s="1"/>
  <c r="F112" i="1" s="1"/>
  <c r="AT14" i="1"/>
  <c r="X15" i="1"/>
  <c r="F94" i="1" s="1"/>
  <c r="AS14" i="1"/>
  <c r="AS23" i="1"/>
  <c r="AV14" i="1"/>
  <c r="AU14" i="1"/>
  <c r="I88" i="1"/>
  <c r="AT15" i="1"/>
  <c r="AU15" i="1"/>
  <c r="AH15" i="1"/>
  <c r="F100" i="1" s="1"/>
  <c r="F113" i="1" s="1"/>
  <c r="I119" i="1" s="1"/>
  <c r="AS15" i="1"/>
  <c r="AV23" i="1"/>
  <c r="AV15" i="1"/>
  <c r="AS16" i="1"/>
  <c r="AV16" i="1"/>
  <c r="AT16" i="1"/>
  <c r="X22" i="1"/>
  <c r="AU16" i="1"/>
  <c r="F91" i="1" l="1"/>
  <c r="AW15" i="1" a="1"/>
  <c r="AW15" i="1" s="1"/>
  <c r="I89" i="1" l="1" a="1"/>
  <c r="I89" i="1" s="1"/>
  <c r="I92" i="1" l="1" a="1"/>
  <c r="I92" i="1" s="1"/>
  <c r="I94" i="1" s="1" a="1"/>
  <c r="I94" i="1" s="1"/>
  <c r="F109" i="1" s="1"/>
  <c r="F106" i="1"/>
  <c r="F116" i="1" s="1"/>
  <c r="F122" i="1" s="1"/>
  <c r="F128" i="1" s="1"/>
  <c r="I95" i="1" l="1" a="1"/>
  <c r="I95" i="1" s="1"/>
  <c r="I96" i="1" l="1" a="1"/>
  <c r="I96" i="1" s="1"/>
  <c r="F111" i="1" s="1"/>
  <c r="I109" i="1"/>
  <c r="I118" i="1" s="1"/>
  <c r="I97" i="1" l="1" a="1"/>
  <c r="I97" i="1" s="1"/>
  <c r="I100" i="1" s="1" a="1"/>
  <c r="I100" i="1" s="1"/>
  <c r="I102" i="1" l="1" a="1"/>
  <c r="I102" i="1" s="1"/>
  <c r="I1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<sst xmlns="http://schemas.openxmlformats.org/spreadsheetml/2006/main" count="568" uniqueCount="102">
  <si>
    <t>ID</t>
  </si>
  <si>
    <t>Fecha</t>
  </si>
  <si>
    <t>Grupo</t>
  </si>
  <si>
    <t>Equipo Local</t>
  </si>
  <si>
    <t>Goles L</t>
  </si>
  <si>
    <t>Goles V</t>
  </si>
  <si>
    <t>Equipo Visitante</t>
  </si>
  <si>
    <t>A</t>
  </si>
  <si>
    <t>México</t>
  </si>
  <si>
    <t>Sudáfrica</t>
  </si>
  <si>
    <t>Corea del Sur</t>
  </si>
  <si>
    <t>Chequia</t>
  </si>
  <si>
    <t>B</t>
  </si>
  <si>
    <t>Canadá</t>
  </si>
  <si>
    <t>Bosnia y Herz.</t>
  </si>
  <si>
    <t>D</t>
  </si>
  <si>
    <t>Estados Unidos</t>
  </si>
  <si>
    <t>Paraguay</t>
  </si>
  <si>
    <t>Catar</t>
  </si>
  <si>
    <t>Suiza</t>
  </si>
  <si>
    <t>C</t>
  </si>
  <si>
    <t>Brasil</t>
  </si>
  <si>
    <t>Marruecos</t>
  </si>
  <si>
    <t>Haití</t>
  </si>
  <si>
    <t>Escocia</t>
  </si>
  <si>
    <t>Australia</t>
  </si>
  <si>
    <t>Turquía</t>
  </si>
  <si>
    <t>E</t>
  </si>
  <si>
    <t>Alemania</t>
  </si>
  <si>
    <t>Curazao</t>
  </si>
  <si>
    <t>Costa de Marfil</t>
  </si>
  <si>
    <t>Ecuador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</si>
  <si>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</si>
  <si>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</si>
  <si>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</si>
  <si>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</si>
  <si>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</si>
  <si>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</si>
  <si>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</si>
  <si>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</si>
  <si>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Irán</t>
  </si>
  <si>
    <t>Nueva Zelanda</t>
  </si>
  <si>
    <t>H</t>
  </si>
  <si>
    <t>España</t>
  </si>
  <si>
    <t>Cabo Verde</t>
  </si>
  <si>
    <t>Uruguay</t>
  </si>
  <si>
    <t>Arabia Saudí</t>
  </si>
  <si>
    <t>I</t>
  </si>
  <si>
    <t>Francia</t>
  </si>
  <si>
    <t>Senegal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</si>
  <si>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</si>
  <si>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</si>
  <si>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</si>
  <si>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</si>
  <si>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</si>
  <si>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</si>
  <si>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</si>
  <si>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</si>
  <si>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</si>
  <si>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</si>
  <si>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Uzbekistán</t>
  </si>
  <si>
    <t>Colombia</t>
  </si>
  <si>
    <t>L</t>
  </si>
  <si>
    <t>Inglaterra</t>
  </si>
  <si>
    <t>Ghana</t>
  </si>
  <si>
    <t>Croacia</t>
  </si>
  <si>
    <t>Panamá</t>
  </si>
  <si>
    <t>Puntos L</t>
  </si>
  <si>
    <t>Puntos V</t>
  </si>
  <si>
    <t>GRUPO A</t>
  </si>
  <si>
    <t>Equipo</t>
  </si>
  <si>
    <t>PJ</t>
  </si>
  <si>
    <t>P</t>
  </si>
  <si>
    <t>GF</t>
  </si>
  <si>
    <t>GC</t>
  </si>
  <si>
    <t>DG</t>
  </si>
  <si>
    <t>Pts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</si>
  <si>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</si>
  <si>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</si>
  <si>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</si>
  <si>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</si>
  <si>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</si>
  <si>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</si>
  <si>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</si>
  <si>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</si>
  <si>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</si>
  <si>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</si>
  <si>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</si>
  <si>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Selección de Mejores terceros</t>
  </si>
  <si>
    <t>Ganador</t>
  </si>
  <si>
    <t>Octavos de Final</t>
  </si>
  <si>
    <t>Cuartos de Final</t>
  </si>
  <si>
    <t>Semifinal</t>
  </si>
  <si>
    <t>Tercer Puesto</t>
  </si>
  <si>
    <t>Final</t>
  </si>
  <si>
    <t>Dieciseisavos de Final</t>
  </si>
  <si>
    <t xml:space="preserve">CAMPEON: </t>
  </si>
  <si>
    <t>COPA MUNDIAL DE FUTBOL 2026</t>
  </si>
  <si>
    <t>Colocar en cada juego los goles que marcará cada equipo.  Si acierta el ganador ó el empate usted obtendrá 3 puntos. Adicionalmente, si acierta la cantidad de goles marcados por un equipo, obtendrá un punto.  La máxima puntuación por juego, son 5 puntos, acertando cantidad de goles por cada equipo (1 punto por cada uno) y acertando al ganador o el empate (3 puntos).  Por cada equipo que usted pase a los octavos de final, sin importar la posición en la cual finalizó en su grupo, obtendrá 3 puntos. Por cada equipo que usted clasifique a cuartos de final, obtendra 4 puntos. Por cada equipo que usted clasifique a semifinal obtendrá 5 puntos. Por cada equipo que usted coloque ne la final obtenfra 10 puntos. Si acierta el ganadordel tercer puesto obtiene 15 punto; Y si acierta el campeon, obtendra 20 puntos.  El ganador de la quiniela es el que acumule el mayor puntaje</t>
  </si>
  <si>
    <t>INSTRUCCIONES PARA LA PRIMERA RONDA</t>
  </si>
  <si>
    <t>X</t>
  </si>
  <si>
    <t>Tercer Lugar: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</si>
</sst>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/>
    <xf numFmtId="14" fontId="1" fillId="0" borderId="1" xfId="0" applyNumberFormat="1" applyFont="1" applyFill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vertical="center" wrapText="1" readingOrder="1"/>
    </xf>
    <xf numFmtId="0" fontId="0" fillId="0" borderId="5" xfId="0" applyFill="1" applyBorder="1" applyAlignment="1">
      <alignment horizontal="center" vertical="center"/>
    </xf>
    <xf numFmtId="0" fontId="0" fillId="0" borderId="0" xfId="0" applyBorder="1" applyAlignment="1"/>
    <xf numFmtId="14" fontId="1" fillId="0" borderId="7" xfId="0" applyNumberFormat="1" applyFont="1" applyFill="1" applyBorder="1" applyAlignment="1">
      <alignment horizontal="left" vertical="center" wrapText="1" indent="1" readingOrder="1"/>
    </xf>
    <xf numFmtId="0" fontId="1" fillId="0" borderId="7" xfId="0" applyFont="1" applyFill="1" applyBorder="1" applyAlignment="1">
      <alignment horizontal="left" vertical="center" wrapText="1" indent="1" readingOrder="1"/>
    </xf>
    <xf numFmtId="1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2" fillId="3" borderId="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5" fillId="2" borderId="5" xfId="0" applyFont="1" applyFill="1" applyBorder="1"/>
    <xf numFmtId="0" fontId="1" fillId="0" borderId="1" xfId="0" applyFont="1" applyFill="1" applyBorder="1" applyAlignment="1">
      <alignment horizontal="center" vertical="center" wrapText="1" readingOrder="1"/>
    </xf>
    <xf numFmtId="0" fontId="1" fillId="0" borderId="7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border outline="0">
        <left style="medium">
          <color rgb="FF000000"/>
        </left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outline="0">
        <left style="medium">
          <color rgb="FF000000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>
        <right style="medium">
          <color rgb="FF000000"/>
        </right>
      </border>
    </dxf>
    <dxf>
      <fill>
        <patternFill patternType="none">
          <fgColor indexed="64"/>
          <bgColor auto="1"/>
        </patternFill>
      </fill>
      <border outline="0">
        <left style="medium">
          <color rgb="FF000000"/>
        </left>
        <right style="medium">
          <color rgb="FF000000"/>
        </right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auto="1"/>
        </patternFill>
      </fill>
      <border outline="0">
        <right style="medium">
          <color rgb="FF000000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60961</xdr:rowOff>
    </xdr:from>
    <xdr:to>
      <xdr:col>2</xdr:col>
      <xdr:colOff>762952</xdr:colOff>
      <xdr:row>46</xdr:row>
      <xdr:rowOff>60921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DF47E51-7E9F-4697-AB43-8AC97826141D}"/>
            </a:ext>
          </a:extLst>
        </xdr:cNvPr>
        <xdr:cNvGrpSpPr/>
      </xdr:nvGrpSpPr>
      <xdr:grpSpPr>
        <a:xfrm>
          <a:off x="0" y="609601"/>
          <a:ext cx="2347912" cy="8488640"/>
          <a:chOff x="0" y="609601"/>
          <a:chExt cx="2347912" cy="8488640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1E5776CF-B71B-4398-8B27-1EFEA1BBD1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781" y="609601"/>
            <a:ext cx="2065019" cy="1756594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84635012-FD82-45F7-86D9-7CBD2EB5D0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2362201"/>
            <a:ext cx="2301826" cy="284988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86634526-8935-4D63-BDF4-5FF0517246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5212081"/>
            <a:ext cx="2347912" cy="1295400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D697B00-7CA6-4DF2-A733-97826CAF6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" y="6492240"/>
            <a:ext cx="2339340" cy="260600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46</xdr:row>
      <xdr:rowOff>99060</xdr:rowOff>
    </xdr:from>
    <xdr:to>
      <xdr:col>2</xdr:col>
      <xdr:colOff>762952</xdr:colOff>
      <xdr:row>90</xdr:row>
      <xdr:rowOff>114260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9C4C1111-8A71-4FDE-B218-B19686AE231A}"/>
            </a:ext>
          </a:extLst>
        </xdr:cNvPr>
        <xdr:cNvGrpSpPr/>
      </xdr:nvGrpSpPr>
      <xdr:grpSpPr>
        <a:xfrm>
          <a:off x="0" y="9136380"/>
          <a:ext cx="2347912" cy="8488640"/>
          <a:chOff x="0" y="609601"/>
          <a:chExt cx="2347912" cy="8488640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B17B276F-C861-4F64-9EDA-29D6922177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781" y="609601"/>
            <a:ext cx="2065019" cy="1756594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13D80E31-7E9D-42F1-AEA5-DF31326F31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2362201"/>
            <a:ext cx="2301826" cy="2849880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A3FB987C-1381-47FF-A6CA-08F1FB420D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5212081"/>
            <a:ext cx="2347912" cy="1295400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163681AD-CB21-485A-A17A-10E6A75A1B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" y="6492240"/>
            <a:ext cx="2339340" cy="260600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90</xdr:row>
      <xdr:rowOff>144780</xdr:rowOff>
    </xdr:from>
    <xdr:to>
      <xdr:col>2</xdr:col>
      <xdr:colOff>762952</xdr:colOff>
      <xdr:row>134</xdr:row>
      <xdr:rowOff>99020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1CA8ED3-870D-4CF1-B416-FC20588B1A0D}"/>
            </a:ext>
          </a:extLst>
        </xdr:cNvPr>
        <xdr:cNvGrpSpPr/>
      </xdr:nvGrpSpPr>
      <xdr:grpSpPr>
        <a:xfrm>
          <a:off x="0" y="17655540"/>
          <a:ext cx="2347912" cy="8488640"/>
          <a:chOff x="0" y="609601"/>
          <a:chExt cx="2347912" cy="848864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B4B86497-A9C4-4E66-B670-B65ADBF5BF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781" y="609601"/>
            <a:ext cx="2065019" cy="1756594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89D58146-A420-4BA0-ABA2-72E3E69027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2362201"/>
            <a:ext cx="2301826" cy="2849880"/>
          </a:xfrm>
          <a:prstGeom prst="rect">
            <a:avLst/>
          </a:prstGeom>
        </xdr:spPr>
      </xdr:pic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37386219-4790-4EC2-8614-B8A06E9154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5212081"/>
            <a:ext cx="2347912" cy="1295400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F1A59B5B-25B3-4EDA-9380-8A86297168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" y="6492240"/>
            <a:ext cx="2339340" cy="2606001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5C6A8-77D2-4946-8D61-F93B74D9AE8D}" name="TablaPartidos" displayName="TablaPartidos" ref="D13:J85" totalsRowShown="0" headerRowDxfId="8" dataDxfId="7">
  <autoFilter ref="D13:J85" xr:uid="{0945C6A8-77D2-4946-8D61-F93B74D9AE8D}"/>
  <tableColumns count="7">
    <tableColumn id="1" xr3:uid="{9C742D18-4E41-4330-8BEC-5C497C28EA3A}" name="ID" dataDxfId="6"/>
    <tableColumn id="2" xr3:uid="{03DB0457-8E3A-44DC-A8D5-EDAED4DA497B}" name="Fecha" dataDxfId="5"/>
    <tableColumn id="3" xr3:uid="{7ABEBF6E-68B5-41B3-85FF-B2B256CEC551}" name="Grupo" dataDxfId="4"/>
    <tableColumn id="4" xr3:uid="{0E08CC8B-24CD-46E6-8A15-0484E67B0E86}" name="Equipo Local" dataDxfId="3"/>
    <tableColumn id="5" xr3:uid="{16892F4F-D1E1-4847-A108-69F06429B1E8}" name="Goles L" dataDxfId="2">
      <calculatedColumnFormula>RANDBETWEEN(1,5)</calculatedColumnFormula>
    </tableColumn>
    <tableColumn id="6" xr3:uid="{7F05126C-16C9-4813-A2C0-2B5CCDA81C87}" name="Goles V" dataDxfId="1">
      <calculatedColumnFormula>RANDBETWEEN(1,5)</calculatedColumnFormula>
    </tableColumn>
    <tableColumn id="7" xr3:uid="{FDF8AEE1-702A-41BE-922D-61F17212489A}" name="Equipo Visita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A3D0-D5C8-4794-8333-D9F18EFA8B7B}">
  <dimension ref="A1:BC134"/>
  <sheetViews>
    <sheetView tabSelected="1" topLeftCell="A5" workbookViewId="0">
      <selection activeCell="G5" sqref="G5"/>
    </sheetView>
  </sheetViews>
  <sheetFormatPr baseColWidth="10" defaultRowHeight="14.4" x14ac:dyDescent="0.3"/>
  <cols>
    <col min="6" max="6" width="13.5546875" customWidth="1"/>
    <col min="7" max="7" width="16.44140625" customWidth="1"/>
    <col min="8" max="8" width="15.88671875" customWidth="1"/>
    <col min="9" max="9" width="16.6640625" bestFit="1" customWidth="1"/>
    <col min="10" max="10" width="26.88671875" customWidth="1"/>
    <col min="11" max="11" width="14.44140625" bestFit="1" customWidth="1"/>
    <col min="12" max="13" width="11.5546875" hidden="1" customWidth="1"/>
    <col min="14" max="14" width="12.44140625" hidden="1" customWidth="1"/>
    <col min="15" max="15" width="11.77734375" hidden="1" customWidth="1"/>
    <col min="16" max="17" width="3.44140625" hidden="1" customWidth="1"/>
    <col min="18" max="19" width="3.109375" hidden="1" customWidth="1"/>
    <col min="20" max="20" width="3.33203125" hidden="1" customWidth="1"/>
    <col min="21" max="22" width="3.44140625" hidden="1" customWidth="1"/>
    <col min="24" max="24" width="13.44140625" bestFit="1" customWidth="1"/>
    <col min="25" max="25" width="2.6640625" bestFit="1" customWidth="1"/>
    <col min="26" max="26" width="2.21875" bestFit="1" customWidth="1"/>
    <col min="27" max="28" width="2" bestFit="1" customWidth="1"/>
    <col min="29" max="29" width="3.109375" bestFit="1" customWidth="1"/>
    <col min="30" max="30" width="3.33203125" bestFit="1" customWidth="1"/>
    <col min="31" max="32" width="3.44140625" bestFit="1" customWidth="1"/>
    <col min="34" max="34" width="12.44140625" bestFit="1" customWidth="1"/>
    <col min="35" max="35" width="2.6640625" bestFit="1" customWidth="1"/>
    <col min="36" max="36" width="2.21875" bestFit="1" customWidth="1"/>
    <col min="37" max="38" width="2" bestFit="1" customWidth="1"/>
    <col min="39" max="39" width="3.109375" bestFit="1" customWidth="1"/>
    <col min="40" max="40" width="3.33203125" bestFit="1" customWidth="1"/>
    <col min="41" max="42" width="3.44140625" bestFit="1" customWidth="1"/>
    <col min="44" max="44" width="0" hidden="1" customWidth="1"/>
    <col min="45" max="45" width="13.44140625" hidden="1" customWidth="1"/>
    <col min="46" max="48" width="0" hidden="1" customWidth="1"/>
    <col min="50" max="51" width="13.44140625" bestFit="1" customWidth="1"/>
  </cols>
  <sheetData>
    <row r="1" spans="1:55" x14ac:dyDescent="0.3">
      <c r="A1" s="37" t="s">
        <v>97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</row>
    <row r="2" spans="1:55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</row>
    <row r="3" spans="1:55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</row>
    <row r="4" spans="1:55" s="11" customForma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spans="1:55" x14ac:dyDescent="0.3">
      <c r="D5" s="25" t="s">
        <v>99</v>
      </c>
      <c r="E5" s="26"/>
      <c r="F5" s="26"/>
      <c r="G5" s="26"/>
      <c r="H5" s="26"/>
      <c r="I5" s="26"/>
      <c r="J5" s="26"/>
      <c r="K5" s="26"/>
      <c r="L5" s="24"/>
      <c r="M5" s="23"/>
    </row>
    <row r="6" spans="1:55" ht="14.4" customHeight="1" x14ac:dyDescent="0.3">
      <c r="D6" s="39" t="s">
        <v>98</v>
      </c>
      <c r="E6" s="40"/>
      <c r="F6" s="40"/>
      <c r="G6" s="40"/>
      <c r="H6" s="40"/>
      <c r="I6" s="40"/>
      <c r="J6" s="40"/>
      <c r="K6" s="41"/>
    </row>
    <row r="7" spans="1:55" x14ac:dyDescent="0.3">
      <c r="D7" s="42"/>
      <c r="E7" s="43"/>
      <c r="F7" s="43"/>
      <c r="G7" s="43"/>
      <c r="H7" s="43"/>
      <c r="I7" s="43"/>
      <c r="J7" s="43"/>
      <c r="K7" s="44"/>
    </row>
    <row r="8" spans="1:55" x14ac:dyDescent="0.3">
      <c r="D8" s="42"/>
      <c r="E8" s="43"/>
      <c r="F8" s="43"/>
      <c r="G8" s="43"/>
      <c r="H8" s="43"/>
      <c r="I8" s="43"/>
      <c r="J8" s="43"/>
      <c r="K8" s="44"/>
    </row>
    <row r="9" spans="1:55" ht="18" customHeight="1" x14ac:dyDescent="0.3">
      <c r="D9" s="42"/>
      <c r="E9" s="43"/>
      <c r="F9" s="43"/>
      <c r="G9" s="43"/>
      <c r="H9" s="43"/>
      <c r="I9" s="43"/>
      <c r="J9" s="43"/>
      <c r="K9" s="44"/>
      <c r="BC9" t="s">
        <v>100</v>
      </c>
    </row>
    <row r="10" spans="1:55" ht="18" customHeight="1" x14ac:dyDescent="0.3">
      <c r="D10" s="42"/>
      <c r="E10" s="43"/>
      <c r="F10" s="43"/>
      <c r="G10" s="43"/>
      <c r="H10" s="43"/>
      <c r="I10" s="43"/>
      <c r="J10" s="43"/>
      <c r="K10" s="44"/>
    </row>
    <row r="11" spans="1:55" ht="18" customHeight="1" x14ac:dyDescent="0.3">
      <c r="D11" s="45"/>
      <c r="E11" s="46"/>
      <c r="F11" s="46"/>
      <c r="G11" s="46"/>
      <c r="H11" s="46"/>
      <c r="I11" s="46"/>
      <c r="J11" s="46"/>
      <c r="K11" s="47"/>
    </row>
    <row r="12" spans="1:55" ht="15" thickBot="1" x14ac:dyDescent="0.35"/>
    <row r="13" spans="1:55" ht="15.6" thickTop="1" thickBot="1" x14ac:dyDescent="0.35">
      <c r="D13" s="21" t="s">
        <v>0</v>
      </c>
      <c r="E13" s="21" t="s">
        <v>1</v>
      </c>
      <c r="F13" s="21" t="s">
        <v>2</v>
      </c>
      <c r="G13" s="21" t="s">
        <v>3</v>
      </c>
      <c r="H13" s="21" t="s">
        <v>4</v>
      </c>
      <c r="I13" s="21" t="s">
        <v>5</v>
      </c>
      <c r="J13" s="21" t="s">
        <v>6</v>
      </c>
      <c r="L13" t="s">
        <v>67</v>
      </c>
      <c r="M13" t="s">
        <v>68</v>
      </c>
      <c r="N13" s="49" t="s">
        <v>69</v>
      </c>
      <c r="O13" s="49"/>
      <c r="P13" s="49"/>
      <c r="Q13" s="49"/>
      <c r="R13" s="49"/>
      <c r="S13" s="49"/>
      <c r="T13" s="49"/>
      <c r="U13" s="49"/>
      <c r="V13" s="49"/>
      <c r="X13" s="50" t="s">
        <v>69</v>
      </c>
      <c r="Y13" s="50"/>
      <c r="Z13" s="50"/>
      <c r="AA13" s="50"/>
      <c r="AB13" s="50"/>
      <c r="AC13" s="50"/>
      <c r="AD13" s="50"/>
      <c r="AE13" s="50"/>
      <c r="AF13" s="50"/>
      <c r="AH13" s="50" t="s">
        <v>77</v>
      </c>
      <c r="AI13" s="50"/>
      <c r="AJ13" s="50"/>
      <c r="AK13" s="50"/>
      <c r="AL13" s="50"/>
      <c r="AM13" s="50"/>
      <c r="AN13" s="50"/>
      <c r="AO13" s="50"/>
      <c r="AP13" s="50"/>
      <c r="AW13" s="36" t="s">
        <v>88</v>
      </c>
      <c r="AX13" s="36"/>
      <c r="AY13" s="36"/>
      <c r="AZ13" s="36"/>
      <c r="BA13" s="36"/>
    </row>
    <row r="14" spans="1:55" ht="15.6" thickTop="1" thickBot="1" x14ac:dyDescent="0.35">
      <c r="D14" s="11">
        <v>1</v>
      </c>
      <c r="E14" s="12">
        <v>46184</v>
      </c>
      <c r="F14" s="28" t="s">
        <v>7</v>
      </c>
      <c r="G14" s="13" t="s">
        <v>8</v>
      </c>
      <c r="H14" s="28"/>
      <c r="I14" s="28"/>
      <c r="J14" s="14" t="s">
        <v>9</v>
      </c>
      <c r="L14">
        <f>IF(OR(H14="",I14=""),0,IF(H14&gt;I14,3,IF(H14=I14,1,0)))</f>
        <v>0</v>
      </c>
      <c r="M14">
        <f>IF(OR(H14="",I14=""),0,IF(I14&gt;H14,3,IF(H14=I14,1,0)))</f>
        <v>0</v>
      </c>
      <c r="N14" s="3" t="s">
        <v>70</v>
      </c>
      <c r="O14" s="3" t="s">
        <v>71</v>
      </c>
      <c r="P14" s="3" t="s">
        <v>37</v>
      </c>
      <c r="Q14" s="3" t="s">
        <v>27</v>
      </c>
      <c r="R14" s="3" t="s">
        <v>72</v>
      </c>
      <c r="S14" s="3" t="s">
        <v>73</v>
      </c>
      <c r="T14" s="3" t="s">
        <v>74</v>
      </c>
      <c r="U14" s="3" t="s">
        <v>75</v>
      </c>
      <c r="V14" s="3" t="s">
        <v>76</v>
      </c>
      <c r="X14" s="5" t="s">
        <v>70</v>
      </c>
      <c r="Y14" s="5" t="s">
        <v>71</v>
      </c>
      <c r="Z14" s="5" t="s">
        <v>37</v>
      </c>
      <c r="AA14" s="5" t="s">
        <v>27</v>
      </c>
      <c r="AB14" s="5" t="s">
        <v>72</v>
      </c>
      <c r="AC14" s="5" t="s">
        <v>73</v>
      </c>
      <c r="AD14" s="5" t="s">
        <v>74</v>
      </c>
      <c r="AE14" s="5" t="s">
        <v>75</v>
      </c>
      <c r="AF14" s="5" t="s">
        <v>76</v>
      </c>
      <c r="AH14" s="5" t="s">
        <v>70</v>
      </c>
      <c r="AI14" s="5" t="s">
        <v>71</v>
      </c>
      <c r="AJ14" s="5" t="s">
        <v>37</v>
      </c>
      <c r="AK14" s="5" t="s">
        <v>27</v>
      </c>
      <c r="AL14" s="5" t="s">
        <v>72</v>
      </c>
      <c r="AM14" s="5" t="s">
        <v>73</v>
      </c>
      <c r="AN14" s="5" t="s">
        <v>74</v>
      </c>
      <c r="AO14" s="5" t="s">
        <v>75</v>
      </c>
      <c r="AP14" s="5" t="s">
        <v>76</v>
      </c>
      <c r="AR14" s="2" t="s">
        <v>7</v>
      </c>
      <c r="AS14" s="2" t="str">
        <f>X17</f>
        <v>Corea del Sur</v>
      </c>
      <c r="AT14" s="2">
        <f>AF17</f>
        <v>0</v>
      </c>
      <c r="AU14" s="2">
        <f>AE17</f>
        <v>0</v>
      </c>
      <c r="AV14" s="2">
        <f>AC17</f>
        <v>0</v>
      </c>
      <c r="AW14" s="8" t="s">
        <v>2</v>
      </c>
      <c r="AX14" s="8" t="s">
        <v>70</v>
      </c>
      <c r="AY14" s="8" t="s">
        <v>76</v>
      </c>
      <c r="AZ14" s="8" t="s">
        <v>75</v>
      </c>
      <c r="BA14" s="8" t="s">
        <v>73</v>
      </c>
      <c r="BB14" s="9"/>
    </row>
    <row r="15" spans="1:55" ht="15" thickBot="1" x14ac:dyDescent="0.35">
      <c r="D15" s="11">
        <v>2</v>
      </c>
      <c r="E15" s="12">
        <v>46184</v>
      </c>
      <c r="F15" s="28" t="s">
        <v>7</v>
      </c>
      <c r="G15" s="13" t="s">
        <v>10</v>
      </c>
      <c r="H15" s="28"/>
      <c r="I15" s="28"/>
      <c r="J15" s="14" t="s">
        <v>11</v>
      </c>
      <c r="L15">
        <f t="shared" ref="L15:L78" si="0">IF(OR(H15="",I15=""),0,IF(H15&gt;I15,3,IF(H15=I15,1,0)))</f>
        <v>0</v>
      </c>
      <c r="M15">
        <f t="shared" ref="M15:M78" si="1">IF(OR(H15="",I15=""),0,IF(I15&gt;H15,3,IF(H15=I15,1,0)))</f>
        <v>0</v>
      </c>
      <c r="N15" s="3" t="s">
        <v>8</v>
      </c>
      <c r="O15" s="3">
        <f>P15+Q15+R15</f>
        <v>0</v>
      </c>
      <c r="P15" s="3">
        <f>COUNTIFS($G:$G,N15,$L:$L,3)+COUNTIFS($J:$J,N15,$M:$M,3)</f>
        <v>0</v>
      </c>
      <c r="Q15" s="3">
        <f>COUNTIFS($G:$G,N15,$L:$L,1)+COUNTIFS($J:$J,N15,$M:$M,1)</f>
        <v>0</v>
      </c>
      <c r="R15" s="3">
        <f>COUNTIFS($G:$G,N15,$L:$L,0,$H:$H,"&lt;&gt;")+COUNTIFS($J:$J,N15,$M:$M,0,$I:$I,"&lt;&gt;")</f>
        <v>0</v>
      </c>
      <c r="S15" s="3">
        <f>SUMIF($G:$G,N15,$H:$H)+SUMIF($J:$J,N15,$I:$I)</f>
        <v>0</v>
      </c>
      <c r="T15" s="3">
        <f>SUMIF($G:$G,N15,$I:$I)+SUMIF($J:$J,N15,$H:$H)</f>
        <v>0</v>
      </c>
      <c r="U15" s="3">
        <f>S15-T15</f>
        <v>0</v>
      </c>
      <c r="V15" s="3">
        <f>SUMIF($G:$G,N15,$L:$L)+SUMIF($J:$J,N15,$M:$M)</f>
        <v>0</v>
      </c>
      <c r="X15" s="30" t="str" cm="1">
        <f t="array" ref="X15:AF18">_xlfn.SORTBY(N15:V18, V15:V18, -1, U15:U18, -1, S15:S18, -1)</f>
        <v>México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11"/>
      <c r="AH15" s="30" t="str" cm="1">
        <f t="array" ref="AH15:AP18">_xlfn.SORTBY(N22:V25, V22:V25, -1, U22:U25, -1, S22:S25, -1)</f>
        <v>Canadá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R15" s="2" t="s">
        <v>12</v>
      </c>
      <c r="AS15" s="2" t="str">
        <f>AH17</f>
        <v>Catar</v>
      </c>
      <c r="AT15" s="2">
        <f>AP17</f>
        <v>0</v>
      </c>
      <c r="AU15" s="2">
        <f>AO17</f>
        <v>0</v>
      </c>
      <c r="AV15" s="2">
        <f>AM17</f>
        <v>0</v>
      </c>
      <c r="AW15" s="15" t="str" cm="1">
        <f t="array" ref="AW15:BA26">_xlfn.SORTBY(AR14:AV25, AT14:AT25, -1, AU14:AU25, -1, AV14:AV25, -1)</f>
        <v>A</v>
      </c>
      <c r="AX15" s="15" t="str">
        <v>Corea del Sur</v>
      </c>
      <c r="AY15" s="15">
        <v>0</v>
      </c>
      <c r="AZ15" s="15">
        <v>0</v>
      </c>
      <c r="BA15" s="15">
        <v>0</v>
      </c>
    </row>
    <row r="16" spans="1:55" ht="15" thickBot="1" x14ac:dyDescent="0.35">
      <c r="D16" s="11">
        <v>3</v>
      </c>
      <c r="E16" s="12">
        <v>46185</v>
      </c>
      <c r="F16" s="28" t="s">
        <v>12</v>
      </c>
      <c r="G16" s="13" t="s">
        <v>13</v>
      </c>
      <c r="H16" s="28"/>
      <c r="I16" s="28"/>
      <c r="J16" s="14" t="s">
        <v>14</v>
      </c>
      <c r="L16">
        <f t="shared" si="0"/>
        <v>0</v>
      </c>
      <c r="M16">
        <f t="shared" si="1"/>
        <v>0</v>
      </c>
      <c r="N16" s="3" t="s">
        <v>9</v>
      </c>
      <c r="O16" s="3">
        <f t="shared" ref="O16:O18" si="2">P16+Q16+R16</f>
        <v>0</v>
      </c>
      <c r="P16" s="3">
        <f>COUNTIFS($G:$G,N16,$L:$L,3)+COUNTIFS($J:$J,N16,$M:$M,3)</f>
        <v>0</v>
      </c>
      <c r="Q16" s="3">
        <f>COUNTIFS($G:$G,N16,$L:$L,1)+COUNTIFS($J:$J,N16,$M:$M,1)</f>
        <v>0</v>
      </c>
      <c r="R16" s="3">
        <f>COUNTIFS($G:$G,N16,$L:$L,0,$H:$H,"&lt;&gt;")+COUNTIFS($J:$J,N16,$M:$M,0,$I:$I,"&lt;&gt;")</f>
        <v>0</v>
      </c>
      <c r="S16" s="3">
        <f>SUMIF($G:$G,N16,$H:$H)+SUMIF($J:$J,N16,$I:$I)</f>
        <v>0</v>
      </c>
      <c r="T16" s="3">
        <f>SUMIF($G:$G,N16,$I:$I)+SUMIF($J:$J,N16,$H:$H)</f>
        <v>0</v>
      </c>
      <c r="U16" s="3">
        <f t="shared" ref="U16:U18" si="3">S16-T16</f>
        <v>0</v>
      </c>
      <c r="V16" s="3">
        <f>SUMIF($G:$G,N16,$L:$L)+SUMIF($J:$J,N16,$M:$M)</f>
        <v>0</v>
      </c>
      <c r="X16" s="30" t="str">
        <v>Sudáfrica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11"/>
      <c r="AH16" s="30" t="str">
        <v>Bosnia y Herz.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R16" s="2" t="s">
        <v>20</v>
      </c>
      <c r="AS16" s="2" t="str">
        <f>X24</f>
        <v>Haití</v>
      </c>
      <c r="AT16" s="2">
        <f>AF24</f>
        <v>0</v>
      </c>
      <c r="AU16" s="2">
        <f>AE24</f>
        <v>0</v>
      </c>
      <c r="AV16" s="2">
        <f>AC24</f>
        <v>0</v>
      </c>
      <c r="AW16" s="15" t="str">
        <v>B</v>
      </c>
      <c r="AX16" s="15" t="str">
        <v>Catar</v>
      </c>
      <c r="AY16" s="15">
        <v>0</v>
      </c>
      <c r="AZ16" s="15">
        <v>0</v>
      </c>
      <c r="BA16" s="15">
        <v>0</v>
      </c>
    </row>
    <row r="17" spans="4:53" ht="15" thickBot="1" x14ac:dyDescent="0.35">
      <c r="D17" s="11">
        <v>4</v>
      </c>
      <c r="E17" s="12">
        <v>46185</v>
      </c>
      <c r="F17" s="28" t="s">
        <v>15</v>
      </c>
      <c r="G17" s="13" t="s">
        <v>16</v>
      </c>
      <c r="H17" s="28"/>
      <c r="I17" s="28"/>
      <c r="J17" s="14" t="s">
        <v>17</v>
      </c>
      <c r="L17">
        <f t="shared" si="0"/>
        <v>0</v>
      </c>
      <c r="M17">
        <f t="shared" si="1"/>
        <v>0</v>
      </c>
      <c r="N17" s="3" t="s">
        <v>10</v>
      </c>
      <c r="O17" s="3">
        <f t="shared" si="2"/>
        <v>0</v>
      </c>
      <c r="P17" s="3">
        <f>COUNTIFS($G:$G,N17,$L:$L,3)+COUNTIFS($J:$J,N17,$M:$M,3)</f>
        <v>0</v>
      </c>
      <c r="Q17" s="3">
        <f>COUNTIFS($G:$G,N17,$L:$L,1)+COUNTIFS($J:$J,N17,$M:$M,1)</f>
        <v>0</v>
      </c>
      <c r="R17" s="3">
        <f>COUNTIFS($G:$G,N17,$L:$L,0,$H:$H,"&lt;&gt;")+COUNTIFS($J:$J,N17,$M:$M,0,$I:$I,"&lt;&gt;")</f>
        <v>0</v>
      </c>
      <c r="S17" s="3">
        <f>SUMIF($G:$G,N17,$H:$H)+SUMIF($J:$J,N17,$I:$I)</f>
        <v>0</v>
      </c>
      <c r="T17" s="3">
        <f>SUMIF($G:$G,N17,$I:$I)+SUMIF($J:$J,N17,$H:$H)</f>
        <v>0</v>
      </c>
      <c r="U17" s="3">
        <f t="shared" si="3"/>
        <v>0</v>
      </c>
      <c r="V17" s="3">
        <f>SUMIF($G:$G,N17,$L:$L)+SUMIF($J:$J,N17,$M:$M)</f>
        <v>0</v>
      </c>
      <c r="X17" s="30" t="str">
        <v>Corea del Sur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11"/>
      <c r="AH17" s="30" t="str">
        <v>Catar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R17" s="2" t="s">
        <v>15</v>
      </c>
      <c r="AS17" s="2" t="str">
        <f>AH24</f>
        <v>Australia</v>
      </c>
      <c r="AT17" s="2">
        <f>AP24</f>
        <v>0</v>
      </c>
      <c r="AU17" s="2">
        <f>AO24</f>
        <v>0</v>
      </c>
      <c r="AV17" s="2">
        <f>AM24</f>
        <v>0</v>
      </c>
      <c r="AW17" s="15" t="str">
        <v>C</v>
      </c>
      <c r="AX17" s="15" t="str">
        <v>Haití</v>
      </c>
      <c r="AY17" s="15">
        <v>0</v>
      </c>
      <c r="AZ17" s="15">
        <v>0</v>
      </c>
      <c r="BA17" s="15">
        <v>0</v>
      </c>
    </row>
    <row r="18" spans="4:53" ht="15" thickBot="1" x14ac:dyDescent="0.35">
      <c r="D18" s="11">
        <v>5</v>
      </c>
      <c r="E18" s="12">
        <v>46186</v>
      </c>
      <c r="F18" s="28" t="s">
        <v>12</v>
      </c>
      <c r="G18" s="13" t="s">
        <v>18</v>
      </c>
      <c r="H18" s="28"/>
      <c r="I18" s="28"/>
      <c r="J18" s="14" t="s">
        <v>19</v>
      </c>
      <c r="L18">
        <f t="shared" si="0"/>
        <v>0</v>
      </c>
      <c r="M18">
        <f t="shared" si="1"/>
        <v>0</v>
      </c>
      <c r="N18" s="3" t="s">
        <v>11</v>
      </c>
      <c r="O18" s="3">
        <f t="shared" si="2"/>
        <v>0</v>
      </c>
      <c r="P18" s="3">
        <f>COUNTIFS($G:$G,N18,$L:$L,3)+COUNTIFS($J:$J,N18,$M:$M,3)</f>
        <v>0</v>
      </c>
      <c r="Q18" s="3">
        <f>COUNTIFS($G:$G,N18,$L:$L,1)+COUNTIFS($J:$J,N18,$M:$M,1)</f>
        <v>0</v>
      </c>
      <c r="R18" s="3">
        <f>COUNTIFS($G:$G,N18,$L:$L,0,$H:$H,"&lt;&gt;")+COUNTIFS($J:$J,N18,$M:$M,0,$I:$I,"&lt;&gt;")</f>
        <v>0</v>
      </c>
      <c r="S18" s="3">
        <f>SUMIF($G:$G,N18,$H:$H)+SUMIF($J:$J,N18,$I:$I)</f>
        <v>0</v>
      </c>
      <c r="T18" s="3">
        <f>SUMIF($G:$G,N18,$I:$I)+SUMIF($J:$J,N18,$H:$H)</f>
        <v>0</v>
      </c>
      <c r="U18" s="3">
        <f t="shared" si="3"/>
        <v>0</v>
      </c>
      <c r="V18" s="3">
        <f>SUMIF($G:$G,N18,$L:$L)+SUMIF($J:$J,N18,$M:$M)</f>
        <v>0</v>
      </c>
      <c r="X18" s="31" t="str">
        <v>Chequia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11"/>
      <c r="AH18" s="31" t="str">
        <v>Suiza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R18" s="2" t="s">
        <v>27</v>
      </c>
      <c r="AS18" s="2" t="str">
        <f>X31</f>
        <v>Costa de Marfil</v>
      </c>
      <c r="AT18" s="2">
        <f>AF31</f>
        <v>0</v>
      </c>
      <c r="AU18" s="2">
        <f>AE31</f>
        <v>0</v>
      </c>
      <c r="AV18" s="2">
        <f>AC31</f>
        <v>0</v>
      </c>
      <c r="AW18" s="15" t="str">
        <v>D</v>
      </c>
      <c r="AX18" s="15" t="str">
        <v>Australia</v>
      </c>
      <c r="AY18" s="15">
        <v>0</v>
      </c>
      <c r="AZ18" s="15">
        <v>0</v>
      </c>
      <c r="BA18" s="15">
        <v>0</v>
      </c>
    </row>
    <row r="19" spans="4:53" ht="15" thickBot="1" x14ac:dyDescent="0.35">
      <c r="D19" s="11">
        <v>6</v>
      </c>
      <c r="E19" s="12">
        <v>46186</v>
      </c>
      <c r="F19" s="28" t="s">
        <v>20</v>
      </c>
      <c r="G19" s="13" t="s">
        <v>21</v>
      </c>
      <c r="H19" s="28"/>
      <c r="I19" s="28"/>
      <c r="J19" s="14" t="s">
        <v>22</v>
      </c>
      <c r="L19">
        <f t="shared" si="0"/>
        <v>0</v>
      </c>
      <c r="M19">
        <f t="shared" si="1"/>
        <v>0</v>
      </c>
      <c r="O19" s="3">
        <f t="shared" ref="O19:O64" si="4">P19+Q19+R19</f>
        <v>0</v>
      </c>
      <c r="P19" s="3">
        <f>COUNTIFS($G:$G,N19,$L:$L,3)+COUNTIFS($J:$J,N19,$M:$M,3)</f>
        <v>0</v>
      </c>
      <c r="Q19" s="3">
        <f>COUNTIFS($G:$G,N19,$L:$L,1)+COUNTIFS($J:$J,N19,$M:$M,1)</f>
        <v>0</v>
      </c>
      <c r="R19" s="3">
        <f>COUNTIFS($G:$G,N19,$L:$L,0,$H:$H,"&lt;&gt;")+COUNTIFS($J:$J,N19,$M:$M,0,$I:$I,"&lt;&gt;")</f>
        <v>0</v>
      </c>
      <c r="S19" s="3">
        <f>SUMIF($G:$G,N19,$H:$H)+SUMIF($J:$J,N19,$I:$I)</f>
        <v>0</v>
      </c>
      <c r="T19" s="3">
        <f>SUMIF($G:$G,N19,$I:$I)+SUMIF($J:$J,N19,$H:$H)</f>
        <v>0</v>
      </c>
      <c r="U19" s="3">
        <f t="shared" ref="U19:U61" si="5">S19-T19</f>
        <v>0</v>
      </c>
      <c r="V19" s="3">
        <f>SUMIF($G:$G,N19,$L:$L)+SUMIF($J:$J,N19,$M:$M)</f>
        <v>0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R19" s="2" t="s">
        <v>32</v>
      </c>
      <c r="AS19" s="2" t="str">
        <f>AH31</f>
        <v>Suecia</v>
      </c>
      <c r="AT19" s="2">
        <f>AP31</f>
        <v>0</v>
      </c>
      <c r="AU19" s="2">
        <f>AO31</f>
        <v>0</v>
      </c>
      <c r="AV19" s="2">
        <f>AM31</f>
        <v>0</v>
      </c>
      <c r="AW19" s="15" t="str">
        <v>E</v>
      </c>
      <c r="AX19" s="15" t="str">
        <v>Costa de Marfil</v>
      </c>
      <c r="AY19" s="15">
        <v>0</v>
      </c>
      <c r="AZ19" s="15">
        <v>0</v>
      </c>
      <c r="BA19" s="15">
        <v>0</v>
      </c>
    </row>
    <row r="20" spans="4:53" ht="15.6" thickTop="1" thickBot="1" x14ac:dyDescent="0.35">
      <c r="D20" s="11">
        <v>7</v>
      </c>
      <c r="E20" s="12">
        <v>46186</v>
      </c>
      <c r="F20" s="28" t="s">
        <v>20</v>
      </c>
      <c r="G20" s="13" t="s">
        <v>23</v>
      </c>
      <c r="H20" s="28"/>
      <c r="I20" s="28"/>
      <c r="J20" s="14" t="s">
        <v>24</v>
      </c>
      <c r="L20">
        <f t="shared" si="0"/>
        <v>0</v>
      </c>
      <c r="M20">
        <f t="shared" si="1"/>
        <v>0</v>
      </c>
      <c r="N20" s="49" t="s">
        <v>77</v>
      </c>
      <c r="O20" s="49"/>
      <c r="P20" s="49"/>
      <c r="Q20" s="49"/>
      <c r="R20" s="49"/>
      <c r="S20" s="49"/>
      <c r="T20" s="49"/>
      <c r="U20" s="49"/>
      <c r="V20" s="49"/>
      <c r="X20" s="48" t="s">
        <v>78</v>
      </c>
      <c r="Y20" s="48"/>
      <c r="Z20" s="48"/>
      <c r="AA20" s="48"/>
      <c r="AB20" s="48"/>
      <c r="AC20" s="48"/>
      <c r="AD20" s="48"/>
      <c r="AE20" s="48"/>
      <c r="AF20" s="48"/>
      <c r="AG20" s="11"/>
      <c r="AH20" s="48" t="s">
        <v>79</v>
      </c>
      <c r="AI20" s="48"/>
      <c r="AJ20" s="48"/>
      <c r="AK20" s="48"/>
      <c r="AL20" s="48"/>
      <c r="AM20" s="48"/>
      <c r="AN20" s="48"/>
      <c r="AO20" s="48"/>
      <c r="AP20" s="48"/>
      <c r="AR20" s="2" t="s">
        <v>37</v>
      </c>
      <c r="AS20" s="2" t="str">
        <f>X38</f>
        <v>Irán</v>
      </c>
      <c r="AT20" s="2">
        <f>AF38</f>
        <v>0</v>
      </c>
      <c r="AU20" s="2">
        <f>AE38</f>
        <v>0</v>
      </c>
      <c r="AV20" s="2">
        <f>AC38</f>
        <v>0</v>
      </c>
      <c r="AW20" s="15" t="str">
        <v>F</v>
      </c>
      <c r="AX20" s="15" t="str">
        <v>Suecia</v>
      </c>
      <c r="AY20" s="15">
        <v>0</v>
      </c>
      <c r="AZ20" s="15">
        <v>0</v>
      </c>
      <c r="BA20" s="15">
        <v>0</v>
      </c>
    </row>
    <row r="21" spans="4:53" ht="15.6" thickTop="1" thickBot="1" x14ac:dyDescent="0.35">
      <c r="D21" s="11">
        <v>8</v>
      </c>
      <c r="E21" s="12">
        <v>46186</v>
      </c>
      <c r="F21" s="28" t="s">
        <v>15</v>
      </c>
      <c r="G21" s="13" t="s">
        <v>25</v>
      </c>
      <c r="H21" s="28"/>
      <c r="I21" s="28"/>
      <c r="J21" s="14" t="s">
        <v>26</v>
      </c>
      <c r="L21">
        <f t="shared" si="0"/>
        <v>0</v>
      </c>
      <c r="M21">
        <f t="shared" si="1"/>
        <v>0</v>
      </c>
      <c r="N21" s="3" t="s">
        <v>70</v>
      </c>
      <c r="O21" s="3" t="s">
        <v>71</v>
      </c>
      <c r="P21" s="3" t="s">
        <v>37</v>
      </c>
      <c r="Q21" s="3" t="s">
        <v>27</v>
      </c>
      <c r="R21" s="3" t="s">
        <v>72</v>
      </c>
      <c r="S21" s="3" t="s">
        <v>73</v>
      </c>
      <c r="T21" s="3" t="s">
        <v>74</v>
      </c>
      <c r="U21" s="3" t="s">
        <v>75</v>
      </c>
      <c r="V21" s="3" t="s">
        <v>76</v>
      </c>
      <c r="X21" s="32" t="s">
        <v>70</v>
      </c>
      <c r="Y21" s="32" t="s">
        <v>71</v>
      </c>
      <c r="Z21" s="32" t="s">
        <v>37</v>
      </c>
      <c r="AA21" s="32" t="s">
        <v>27</v>
      </c>
      <c r="AB21" s="32" t="s">
        <v>72</v>
      </c>
      <c r="AC21" s="32" t="s">
        <v>73</v>
      </c>
      <c r="AD21" s="32" t="s">
        <v>74</v>
      </c>
      <c r="AE21" s="32" t="s">
        <v>75</v>
      </c>
      <c r="AF21" s="32" t="s">
        <v>76</v>
      </c>
      <c r="AG21" s="11"/>
      <c r="AH21" s="32" t="s">
        <v>70</v>
      </c>
      <c r="AI21" s="32" t="s">
        <v>71</v>
      </c>
      <c r="AJ21" s="32" t="s">
        <v>37</v>
      </c>
      <c r="AK21" s="32" t="s">
        <v>27</v>
      </c>
      <c r="AL21" s="32" t="s">
        <v>72</v>
      </c>
      <c r="AM21" s="32" t="s">
        <v>73</v>
      </c>
      <c r="AN21" s="32" t="s">
        <v>74</v>
      </c>
      <c r="AO21" s="32" t="s">
        <v>75</v>
      </c>
      <c r="AP21" s="32" t="s">
        <v>76</v>
      </c>
      <c r="AR21" s="2" t="s">
        <v>42</v>
      </c>
      <c r="AS21" s="2" t="str">
        <f>AH38</f>
        <v>Arabia Saudí</v>
      </c>
      <c r="AT21" s="2">
        <f>AP38</f>
        <v>0</v>
      </c>
      <c r="AU21" s="2">
        <f>AO38</f>
        <v>0</v>
      </c>
      <c r="AV21" s="2">
        <f>AM38</f>
        <v>0</v>
      </c>
      <c r="AW21" s="15" t="str">
        <v>G</v>
      </c>
      <c r="AX21" s="15" t="str">
        <v>Irán</v>
      </c>
      <c r="AY21" s="15">
        <v>0</v>
      </c>
      <c r="AZ21" s="15">
        <v>0</v>
      </c>
      <c r="BA21" s="15">
        <v>0</v>
      </c>
    </row>
    <row r="22" spans="4:53" ht="15" thickBot="1" x14ac:dyDescent="0.35">
      <c r="D22" s="11">
        <v>9</v>
      </c>
      <c r="E22" s="12">
        <v>46187</v>
      </c>
      <c r="F22" s="28" t="s">
        <v>27</v>
      </c>
      <c r="G22" s="13" t="s">
        <v>28</v>
      </c>
      <c r="H22" s="28"/>
      <c r="I22" s="28"/>
      <c r="J22" s="14" t="s">
        <v>29</v>
      </c>
      <c r="L22">
        <f t="shared" si="0"/>
        <v>0</v>
      </c>
      <c r="M22">
        <f t="shared" si="1"/>
        <v>0</v>
      </c>
      <c r="N22" t="s">
        <v>13</v>
      </c>
      <c r="O22" s="3">
        <f t="shared" si="4"/>
        <v>0</v>
      </c>
      <c r="P22" s="3">
        <f>COUNTIFS($G:$G,N22,$L:$L,3)+COUNTIFS($J:$J,N22,$M:$M,3)</f>
        <v>0</v>
      </c>
      <c r="Q22" s="3">
        <f>COUNTIFS($G:$G,N22,$L:$L,1)+COUNTIFS($J:$J,N22,$M:$M,1)</f>
        <v>0</v>
      </c>
      <c r="R22" s="3">
        <f>COUNTIFS($G:$G,N22,$L:$L,0,$H:$H,"&lt;&gt;")+COUNTIFS($J:$J,N22,$M:$M,0,$I:$I,"&lt;&gt;")</f>
        <v>0</v>
      </c>
      <c r="S22" s="3">
        <f>SUMIF($G:$G,N22,$H:$H)+SUMIF($J:$J,N22,$I:$I)</f>
        <v>0</v>
      </c>
      <c r="T22" s="3">
        <f>SUMIF($G:$G,N22,$I:$I)+SUMIF($J:$J,N22,$H:$H)</f>
        <v>0</v>
      </c>
      <c r="U22" s="3">
        <f t="shared" si="5"/>
        <v>0</v>
      </c>
      <c r="V22" s="3">
        <f>SUMIF($G:$G,N22,$L:$L)+SUMIF($J:$J,N22,$M:$M)</f>
        <v>0</v>
      </c>
      <c r="X22" s="30" t="str" cm="1">
        <f t="array" ref="X22:AF25">_xlfn.SORTBY(N29:V32, V29:V32, -1, U29:U32, -1, S29:S32, -1)</f>
        <v>Brasil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11"/>
      <c r="AH22" s="30" t="str" cm="1">
        <f t="array" ref="AH22:AP25">_xlfn.SORTBY(N36:V39,V36:V39, -1, U36:U39, -1, S36:S39, -1)</f>
        <v>Estados Unidos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R22" s="2" t="s">
        <v>47</v>
      </c>
      <c r="AS22" s="2" t="str">
        <f>X45</f>
        <v>Irak</v>
      </c>
      <c r="AT22" s="2">
        <f>AF45</f>
        <v>0</v>
      </c>
      <c r="AU22" s="2">
        <f>AE45</f>
        <v>0</v>
      </c>
      <c r="AV22" s="2">
        <f>AC45</f>
        <v>0</v>
      </c>
      <c r="AW22" s="8" t="str">
        <v>H</v>
      </c>
      <c r="AX22" s="15" t="str">
        <v>Arabia Saudí</v>
      </c>
      <c r="AY22" s="8">
        <v>0</v>
      </c>
      <c r="AZ22" s="8">
        <v>0</v>
      </c>
      <c r="BA22" s="8">
        <v>0</v>
      </c>
    </row>
    <row r="23" spans="4:53" ht="15" thickBot="1" x14ac:dyDescent="0.35">
      <c r="D23" s="11">
        <v>10</v>
      </c>
      <c r="E23" s="12">
        <v>46187</v>
      </c>
      <c r="F23" s="28" t="s">
        <v>27</v>
      </c>
      <c r="G23" s="13" t="s">
        <v>30</v>
      </c>
      <c r="H23" s="28"/>
      <c r="I23" s="28"/>
      <c r="J23" s="14" t="s">
        <v>31</v>
      </c>
      <c r="L23">
        <f t="shared" si="0"/>
        <v>0</v>
      </c>
      <c r="M23">
        <f t="shared" si="1"/>
        <v>0</v>
      </c>
      <c r="N23" t="s">
        <v>14</v>
      </c>
      <c r="O23" s="3">
        <f t="shared" si="4"/>
        <v>0</v>
      </c>
      <c r="P23" s="3">
        <f>COUNTIFS($G:$G,N23,$L:$L,3)+COUNTIFS($J:$J,N23,$M:$M,3)</f>
        <v>0</v>
      </c>
      <c r="Q23" s="3">
        <f>COUNTIFS($G:$G,N23,$L:$L,1)+COUNTIFS($J:$J,N23,$M:$M,1)</f>
        <v>0</v>
      </c>
      <c r="R23" s="3">
        <f>COUNTIFS($G:$G,N23,$L:$L,0,$H:$H,"&lt;&gt;")+COUNTIFS($J:$J,N23,$M:$M,0,$I:$I,"&lt;&gt;")</f>
        <v>0</v>
      </c>
      <c r="S23" s="3">
        <f>SUMIF($G:$G,N23,$H:$H)+SUMIF($J:$J,N23,$I:$I)</f>
        <v>0</v>
      </c>
      <c r="T23" s="3">
        <f>SUMIF($G:$G,N23,$I:$I)+SUMIF($J:$J,N23,$H:$H)</f>
        <v>0</v>
      </c>
      <c r="U23" s="3">
        <f t="shared" si="5"/>
        <v>0</v>
      </c>
      <c r="V23" s="3">
        <f>SUMIF($G:$G,N23,$L:$L)+SUMIF($J:$J,N23,$M:$M)</f>
        <v>0</v>
      </c>
      <c r="X23" s="30" t="str">
        <v>Marruecos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11"/>
      <c r="AH23" s="30" t="str">
        <v>Paraguay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R23" s="2" t="s">
        <v>52</v>
      </c>
      <c r="AS23" s="2" t="str">
        <f>AH45</f>
        <v>Austria</v>
      </c>
      <c r="AT23" s="2">
        <f>AP45</f>
        <v>0</v>
      </c>
      <c r="AU23" s="2">
        <f>AO45</f>
        <v>0</v>
      </c>
      <c r="AV23" s="2">
        <f>AM45</f>
        <v>0</v>
      </c>
      <c r="AW23" s="8" t="str">
        <v>I</v>
      </c>
      <c r="AX23" s="8" t="str">
        <v>Irak</v>
      </c>
      <c r="AY23" s="8">
        <v>0</v>
      </c>
      <c r="AZ23" s="8">
        <v>0</v>
      </c>
      <c r="BA23" s="8">
        <v>0</v>
      </c>
    </row>
    <row r="24" spans="4:53" ht="15" thickBot="1" x14ac:dyDescent="0.35">
      <c r="D24" s="11">
        <v>11</v>
      </c>
      <c r="E24" s="12">
        <v>46187</v>
      </c>
      <c r="F24" s="28" t="s">
        <v>32</v>
      </c>
      <c r="G24" s="13" t="s">
        <v>33</v>
      </c>
      <c r="H24" s="28"/>
      <c r="I24" s="28"/>
      <c r="J24" s="14" t="s">
        <v>34</v>
      </c>
      <c r="L24">
        <f t="shared" si="0"/>
        <v>0</v>
      </c>
      <c r="M24">
        <f t="shared" si="1"/>
        <v>0</v>
      </c>
      <c r="N24" t="s">
        <v>18</v>
      </c>
      <c r="O24" s="3">
        <f t="shared" si="4"/>
        <v>0</v>
      </c>
      <c r="P24" s="3">
        <f>COUNTIFS($G:$G,N24,$L:$L,3)+COUNTIFS($J:$J,N24,$M:$M,3)</f>
        <v>0</v>
      </c>
      <c r="Q24" s="3">
        <f>COUNTIFS($G:$G,N24,$L:$L,1)+COUNTIFS($J:$J,N24,$M:$M,1)</f>
        <v>0</v>
      </c>
      <c r="R24" s="3">
        <f>COUNTIFS($G:$G,N24,$L:$L,0,$H:$H,"&lt;&gt;")+COUNTIFS($J:$J,N24,$M:$M,0,$I:$I,"&lt;&gt;")</f>
        <v>0</v>
      </c>
      <c r="S24" s="3">
        <f>SUMIF($G:$G,N24,$H:$H)+SUMIF($J:$J,N24,$I:$I)</f>
        <v>0</v>
      </c>
      <c r="T24" s="3">
        <f>SUMIF($G:$G,N24,$I:$I)+SUMIF($J:$J,N24,$H:$H)</f>
        <v>0</v>
      </c>
      <c r="U24" s="3">
        <f t="shared" si="5"/>
        <v>0</v>
      </c>
      <c r="V24" s="3">
        <f>SUMIF($G:$G,N24,$L:$L)+SUMIF($J:$J,N24,$M:$M)</f>
        <v>0</v>
      </c>
      <c r="X24" s="30" t="str">
        <v>Haití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11"/>
      <c r="AH24" s="30" t="str">
        <v>Australia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R24" s="2" t="s">
        <v>57</v>
      </c>
      <c r="AS24" s="2" t="str">
        <f>X52</f>
        <v>Uzbekistán</v>
      </c>
      <c r="AT24" s="2">
        <f>AF52</f>
        <v>0</v>
      </c>
      <c r="AU24" s="2">
        <f>AE52</f>
        <v>0</v>
      </c>
      <c r="AV24" s="2">
        <f>AC52</f>
        <v>0</v>
      </c>
      <c r="AW24" s="8" t="str">
        <v>J</v>
      </c>
      <c r="AX24" s="8" t="str">
        <v>Austria</v>
      </c>
      <c r="AY24" s="8">
        <v>0</v>
      </c>
      <c r="AZ24" s="8">
        <v>0</v>
      </c>
      <c r="BA24" s="8">
        <v>0</v>
      </c>
    </row>
    <row r="25" spans="4:53" ht="15" thickBot="1" x14ac:dyDescent="0.35">
      <c r="D25" s="11">
        <v>12</v>
      </c>
      <c r="E25" s="12">
        <v>46187</v>
      </c>
      <c r="F25" s="28" t="s">
        <v>32</v>
      </c>
      <c r="G25" s="13" t="s">
        <v>35</v>
      </c>
      <c r="H25" s="28"/>
      <c r="I25" s="28"/>
      <c r="J25" s="14" t="s">
        <v>36</v>
      </c>
      <c r="L25">
        <f t="shared" si="0"/>
        <v>0</v>
      </c>
      <c r="M25">
        <f t="shared" si="1"/>
        <v>0</v>
      </c>
      <c r="N25" t="s">
        <v>19</v>
      </c>
      <c r="O25" s="3">
        <f t="shared" si="4"/>
        <v>0</v>
      </c>
      <c r="P25" s="3">
        <f>COUNTIFS($G:$G,N25,$L:$L,3)+COUNTIFS($J:$J,N25,$M:$M,3)</f>
        <v>0</v>
      </c>
      <c r="Q25" s="3">
        <f>COUNTIFS($G:$G,N25,$L:$L,1)+COUNTIFS($J:$J,N25,$M:$M,1)</f>
        <v>0</v>
      </c>
      <c r="R25" s="3">
        <f>COUNTIFS($G:$G,N25,$L:$L,0,$H:$H,"&lt;&gt;")+COUNTIFS($J:$J,N25,$M:$M,0,$I:$I,"&lt;&gt;")</f>
        <v>0</v>
      </c>
      <c r="S25" s="3">
        <f>SUMIF($G:$G,N25,$H:$H)+SUMIF($J:$J,N25,$I:$I)</f>
        <v>0</v>
      </c>
      <c r="T25" s="3">
        <f>SUMIF($G:$G,N25,$I:$I)+SUMIF($J:$J,N25,$H:$H)</f>
        <v>0</v>
      </c>
      <c r="U25" s="3">
        <f t="shared" si="5"/>
        <v>0</v>
      </c>
      <c r="V25" s="3">
        <f>SUMIF($G:$G,N25,$L:$L)+SUMIF($J:$J,N25,$M:$M)</f>
        <v>0</v>
      </c>
      <c r="X25" s="31" t="str">
        <v>Escocia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11"/>
      <c r="AH25" s="31" t="str">
        <v>Turquía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R25" s="2" t="s">
        <v>62</v>
      </c>
      <c r="AS25" s="2" t="str">
        <f>AH52</f>
        <v>Ghana</v>
      </c>
      <c r="AT25" s="2">
        <f>AP52</f>
        <v>0</v>
      </c>
      <c r="AU25" s="2">
        <f>AO52</f>
        <v>0</v>
      </c>
      <c r="AV25" s="2">
        <f>AN52</f>
        <v>0</v>
      </c>
      <c r="AW25" s="8" t="str">
        <v>K</v>
      </c>
      <c r="AX25" s="8" t="str">
        <v>Uzbekistán</v>
      </c>
      <c r="AY25" s="8">
        <v>0</v>
      </c>
      <c r="AZ25" s="8">
        <v>0</v>
      </c>
      <c r="BA25" s="8">
        <v>0</v>
      </c>
    </row>
    <row r="26" spans="4:53" ht="15" thickBot="1" x14ac:dyDescent="0.35">
      <c r="D26" s="11">
        <v>13</v>
      </c>
      <c r="E26" s="12">
        <v>46188</v>
      </c>
      <c r="F26" s="28" t="s">
        <v>37</v>
      </c>
      <c r="G26" s="13" t="s">
        <v>38</v>
      </c>
      <c r="H26" s="28"/>
      <c r="I26" s="28"/>
      <c r="J26" s="14" t="s">
        <v>39</v>
      </c>
      <c r="L26">
        <f t="shared" si="0"/>
        <v>0</v>
      </c>
      <c r="M26">
        <f t="shared" si="1"/>
        <v>0</v>
      </c>
      <c r="O26" s="3">
        <f t="shared" si="4"/>
        <v>0</v>
      </c>
      <c r="P26" s="3">
        <f>COUNTIFS($G:$G,N26,$L:$L,3)+COUNTIFS($J:$J,N26,$M:$M,3)</f>
        <v>0</v>
      </c>
      <c r="Q26" s="3">
        <f>COUNTIFS($G:$G,N26,$L:$L,1)+COUNTIFS($J:$J,N26,$M:$M,1)</f>
        <v>0</v>
      </c>
      <c r="R26" s="3">
        <f>COUNTIFS($G:$G,N26,$L:$L,0,$H:$H,"&lt;&gt;")+COUNTIFS($J:$J,N26,$M:$M,0,$I:$I,"&lt;&gt;")</f>
        <v>0</v>
      </c>
      <c r="S26" s="3">
        <f>SUMIF($G:$G,N26,$H:$H)+SUMIF($J:$J,N26,$I:$I)</f>
        <v>0</v>
      </c>
      <c r="T26" s="3">
        <f>SUMIF($G:$G,N26,$I:$I)+SUMIF($J:$J,N26,$H:$H)</f>
        <v>0</v>
      </c>
      <c r="U26" s="3">
        <f t="shared" si="5"/>
        <v>0</v>
      </c>
      <c r="V26" s="3">
        <f>SUMIF($G:$G,N26,$L:$L)+SUMIF($J:$J,N26,$M:$M)</f>
        <v>0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W26" s="8" t="str">
        <v>L</v>
      </c>
      <c r="AX26" s="8" t="str">
        <v>Ghana</v>
      </c>
      <c r="AY26" s="8">
        <v>0</v>
      </c>
      <c r="AZ26" s="8">
        <v>0</v>
      </c>
      <c r="BA26" s="8">
        <v>0</v>
      </c>
    </row>
    <row r="27" spans="4:53" ht="15.6" thickTop="1" thickBot="1" x14ac:dyDescent="0.35">
      <c r="D27" s="11">
        <v>14</v>
      </c>
      <c r="E27" s="12">
        <v>46188</v>
      </c>
      <c r="F27" s="28" t="s">
        <v>37</v>
      </c>
      <c r="G27" s="13" t="s">
        <v>40</v>
      </c>
      <c r="H27" s="28"/>
      <c r="I27" s="28"/>
      <c r="J27" s="14" t="s">
        <v>41</v>
      </c>
      <c r="L27">
        <f t="shared" si="0"/>
        <v>0</v>
      </c>
      <c r="M27">
        <f t="shared" si="1"/>
        <v>0</v>
      </c>
      <c r="N27" s="49" t="s">
        <v>78</v>
      </c>
      <c r="O27" s="49"/>
      <c r="P27" s="49"/>
      <c r="Q27" s="49"/>
      <c r="R27" s="49"/>
      <c r="S27" s="49"/>
      <c r="T27" s="49"/>
      <c r="U27" s="49"/>
      <c r="V27" s="49"/>
      <c r="X27" s="48" t="s">
        <v>80</v>
      </c>
      <c r="Y27" s="48"/>
      <c r="Z27" s="48"/>
      <c r="AA27" s="48"/>
      <c r="AB27" s="48"/>
      <c r="AC27" s="48"/>
      <c r="AD27" s="48"/>
      <c r="AE27" s="48"/>
      <c r="AF27" s="48"/>
      <c r="AG27" s="11"/>
      <c r="AH27" s="48" t="s">
        <v>81</v>
      </c>
      <c r="AI27" s="48"/>
      <c r="AJ27" s="48"/>
      <c r="AK27" s="48"/>
      <c r="AL27" s="48"/>
      <c r="AM27" s="48"/>
      <c r="AN27" s="48"/>
      <c r="AO27" s="48"/>
      <c r="AP27" s="48"/>
    </row>
    <row r="28" spans="4:53" ht="15.6" thickTop="1" thickBot="1" x14ac:dyDescent="0.35">
      <c r="D28" s="11">
        <v>15</v>
      </c>
      <c r="E28" s="12">
        <v>46188</v>
      </c>
      <c r="F28" s="28" t="s">
        <v>42</v>
      </c>
      <c r="G28" s="13" t="s">
        <v>43</v>
      </c>
      <c r="H28" s="28"/>
      <c r="I28" s="28"/>
      <c r="J28" s="14" t="s">
        <v>44</v>
      </c>
      <c r="L28">
        <f t="shared" si="0"/>
        <v>0</v>
      </c>
      <c r="M28">
        <f t="shared" si="1"/>
        <v>0</v>
      </c>
      <c r="N28" s="3" t="s">
        <v>70</v>
      </c>
      <c r="O28" s="3" t="s">
        <v>71</v>
      </c>
      <c r="P28" s="3" t="s">
        <v>37</v>
      </c>
      <c r="Q28" s="3" t="s">
        <v>27</v>
      </c>
      <c r="R28" s="3" t="s">
        <v>72</v>
      </c>
      <c r="S28" s="3" t="s">
        <v>73</v>
      </c>
      <c r="T28" s="3" t="s">
        <v>74</v>
      </c>
      <c r="U28" s="3" t="s">
        <v>75</v>
      </c>
      <c r="V28" s="3" t="s">
        <v>76</v>
      </c>
      <c r="X28" s="32" t="s">
        <v>70</v>
      </c>
      <c r="Y28" s="32" t="s">
        <v>71</v>
      </c>
      <c r="Z28" s="32" t="s">
        <v>37</v>
      </c>
      <c r="AA28" s="32" t="s">
        <v>27</v>
      </c>
      <c r="AB28" s="32" t="s">
        <v>72</v>
      </c>
      <c r="AC28" s="32" t="s">
        <v>73</v>
      </c>
      <c r="AD28" s="32" t="s">
        <v>74</v>
      </c>
      <c r="AE28" s="32" t="s">
        <v>75</v>
      </c>
      <c r="AF28" s="32" t="s">
        <v>76</v>
      </c>
      <c r="AG28" s="11"/>
      <c r="AH28" s="32" t="s">
        <v>70</v>
      </c>
      <c r="AI28" s="32" t="s">
        <v>71</v>
      </c>
      <c r="AJ28" s="32" t="s">
        <v>37</v>
      </c>
      <c r="AK28" s="32" t="s">
        <v>27</v>
      </c>
      <c r="AL28" s="32" t="s">
        <v>72</v>
      </c>
      <c r="AM28" s="32" t="s">
        <v>73</v>
      </c>
      <c r="AN28" s="32" t="s">
        <v>74</v>
      </c>
      <c r="AO28" s="32" t="s">
        <v>75</v>
      </c>
      <c r="AP28" s="32" t="s">
        <v>76</v>
      </c>
    </row>
    <row r="29" spans="4:53" ht="15" thickBot="1" x14ac:dyDescent="0.35">
      <c r="D29" s="11">
        <v>16</v>
      </c>
      <c r="E29" s="12">
        <v>46188</v>
      </c>
      <c r="F29" s="28" t="s">
        <v>42</v>
      </c>
      <c r="G29" s="13" t="s">
        <v>45</v>
      </c>
      <c r="H29" s="28"/>
      <c r="I29" s="28"/>
      <c r="J29" s="14" t="s">
        <v>46</v>
      </c>
      <c r="L29">
        <f t="shared" si="0"/>
        <v>0</v>
      </c>
      <c r="M29">
        <f t="shared" si="1"/>
        <v>0</v>
      </c>
      <c r="N29" t="s">
        <v>21</v>
      </c>
      <c r="O29" s="3">
        <f t="shared" si="4"/>
        <v>0</v>
      </c>
      <c r="P29" s="3">
        <f>COUNTIFS($G:$G,N29,$L:$L,3)+COUNTIFS($J:$J,N29,$M:$M,3)</f>
        <v>0</v>
      </c>
      <c r="Q29" s="3">
        <f>COUNTIFS($G:$G,N29,$L:$L,1)+COUNTIFS($J:$J,N29,$M:$M,1)</f>
        <v>0</v>
      </c>
      <c r="R29" s="3">
        <f>COUNTIFS($G:$G,N29,$L:$L,0,$H:$H,"&lt;&gt;")+COUNTIFS($J:$J,N29,$M:$M,0,$I:$I,"&lt;&gt;")</f>
        <v>0</v>
      </c>
      <c r="S29" s="3">
        <f>SUMIF($G:$G,N29,$H:$H)+SUMIF($J:$J,N29,$I:$I)</f>
        <v>0</v>
      </c>
      <c r="T29" s="3">
        <f>SUMIF($G:$G,N29,$I:$I)+SUMIF($J:$J,N29,$H:$H)</f>
        <v>0</v>
      </c>
      <c r="U29" s="3">
        <f t="shared" si="5"/>
        <v>0</v>
      </c>
      <c r="V29" s="3">
        <f>SUMIF($G:$G,N29,$L:$L)+SUMIF($J:$J,N29,$M:$M)</f>
        <v>0</v>
      </c>
      <c r="X29" s="30" t="str" cm="1">
        <f t="array" ref="X29:AF32">_xlfn.SORTBY(N43:V46,V43:V46, -1,U43:U46, -1,S43:S46, -1)</f>
        <v>Alemania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11"/>
      <c r="AH29" s="30" t="str" cm="1">
        <f t="array" ref="AH29:AP32">_xlfn.SORTBY(N50:V53,V50:V53, -1, U50:U53, -1, S50:S53, -1)</f>
        <v>Países Bajos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</row>
    <row r="30" spans="4:53" ht="15" thickBot="1" x14ac:dyDescent="0.35">
      <c r="D30" s="11">
        <v>17</v>
      </c>
      <c r="E30" s="12">
        <v>46189</v>
      </c>
      <c r="F30" s="28" t="s">
        <v>47</v>
      </c>
      <c r="G30" s="13" t="s">
        <v>48</v>
      </c>
      <c r="H30" s="28"/>
      <c r="I30" s="28"/>
      <c r="J30" s="14" t="s">
        <v>49</v>
      </c>
      <c r="L30">
        <f t="shared" si="0"/>
        <v>0</v>
      </c>
      <c r="M30">
        <f t="shared" si="1"/>
        <v>0</v>
      </c>
      <c r="N30" t="s">
        <v>22</v>
      </c>
      <c r="O30" s="3">
        <f t="shared" si="4"/>
        <v>0</v>
      </c>
      <c r="P30" s="3">
        <f>COUNTIFS($G:$G,N30,$L:$L,3)+COUNTIFS($J:$J,N30,$M:$M,3)</f>
        <v>0</v>
      </c>
      <c r="Q30" s="3">
        <f>COUNTIFS($G:$G,N30,$L:$L,1)+COUNTIFS($J:$J,N30,$M:$M,1)</f>
        <v>0</v>
      </c>
      <c r="R30" s="3">
        <f>COUNTIFS($G:$G,N30,$L:$L,0,$H:$H,"&lt;&gt;")+COUNTIFS($J:$J,N30,$M:$M,0,$I:$I,"&lt;&gt;")</f>
        <v>0</v>
      </c>
      <c r="S30" s="3">
        <f>SUMIF($G:$G,N30,$H:$H)+SUMIF($J:$J,N30,$I:$I)</f>
        <v>0</v>
      </c>
      <c r="T30" s="3">
        <f>SUMIF($G:$G,N30,$I:$I)+SUMIF($J:$J,N30,$H:$H)</f>
        <v>0</v>
      </c>
      <c r="U30" s="3">
        <f t="shared" si="5"/>
        <v>0</v>
      </c>
      <c r="V30" s="3">
        <f>SUMIF($G:$G,N30,$L:$L)+SUMIF($J:$J,N30,$M:$M)</f>
        <v>0</v>
      </c>
      <c r="X30" s="30" t="str">
        <v>Curazao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11"/>
      <c r="AH30" s="30" t="str">
        <v>Japón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</row>
    <row r="31" spans="4:53" ht="15" thickBot="1" x14ac:dyDescent="0.35">
      <c r="D31" s="11">
        <v>18</v>
      </c>
      <c r="E31" s="12">
        <v>46189</v>
      </c>
      <c r="F31" s="28" t="s">
        <v>47</v>
      </c>
      <c r="G31" s="13" t="s">
        <v>50</v>
      </c>
      <c r="H31" s="28"/>
      <c r="I31" s="28"/>
      <c r="J31" s="14" t="s">
        <v>51</v>
      </c>
      <c r="L31">
        <f t="shared" si="0"/>
        <v>0</v>
      </c>
      <c r="M31">
        <f t="shared" si="1"/>
        <v>0</v>
      </c>
      <c r="N31" t="s">
        <v>23</v>
      </c>
      <c r="O31" s="3">
        <f t="shared" si="4"/>
        <v>0</v>
      </c>
      <c r="P31" s="3">
        <f>COUNTIFS($G:$G,N31,$L:$L,3)+COUNTIFS($J:$J,N31,$M:$M,3)</f>
        <v>0</v>
      </c>
      <c r="Q31" s="3">
        <f>COUNTIFS($G:$G,N31,$L:$L,1)+COUNTIFS($J:$J,N31,$M:$M,1)</f>
        <v>0</v>
      </c>
      <c r="R31" s="3">
        <f>COUNTIFS($G:$G,N31,$L:$L,0,$H:$H,"&lt;&gt;")+COUNTIFS($J:$J,N31,$M:$M,0,$I:$I,"&lt;&gt;")</f>
        <v>0</v>
      </c>
      <c r="S31" s="3">
        <f>SUMIF($G:$G,N31,$H:$H)+SUMIF($J:$J,N31,$I:$I)</f>
        <v>0</v>
      </c>
      <c r="T31" s="3">
        <f>SUMIF($G:$G,N31,$I:$I)+SUMIF($J:$J,N31,$H:$H)</f>
        <v>0</v>
      </c>
      <c r="U31" s="3">
        <f t="shared" si="5"/>
        <v>0</v>
      </c>
      <c r="V31" s="3">
        <f>SUMIF($G:$G,N31,$L:$L)+SUMIF($J:$J,N31,$M:$M)</f>
        <v>0</v>
      </c>
      <c r="X31" s="30" t="str">
        <v>Costa de Marfil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11"/>
      <c r="AH31" s="30" t="str">
        <v>Suecia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</row>
    <row r="32" spans="4:53" ht="15" thickBot="1" x14ac:dyDescent="0.35">
      <c r="D32" s="11">
        <v>19</v>
      </c>
      <c r="E32" s="12">
        <v>46189</v>
      </c>
      <c r="F32" s="28" t="s">
        <v>52</v>
      </c>
      <c r="G32" s="13" t="s">
        <v>53</v>
      </c>
      <c r="H32" s="28"/>
      <c r="I32" s="28"/>
      <c r="J32" s="14" t="s">
        <v>54</v>
      </c>
      <c r="L32">
        <f t="shared" si="0"/>
        <v>0</v>
      </c>
      <c r="M32">
        <f t="shared" si="1"/>
        <v>0</v>
      </c>
      <c r="N32" t="s">
        <v>24</v>
      </c>
      <c r="O32" s="3">
        <f t="shared" si="4"/>
        <v>0</v>
      </c>
      <c r="P32" s="3">
        <f>COUNTIFS($G:$G,N32,$L:$L,3)+COUNTIFS($J:$J,N32,$M:$M,3)</f>
        <v>0</v>
      </c>
      <c r="Q32" s="3">
        <f>COUNTIFS($G:$G,N32,$L:$L,1)+COUNTIFS($J:$J,N32,$M:$M,1)</f>
        <v>0</v>
      </c>
      <c r="R32" s="3">
        <f>COUNTIFS($G:$G,N32,$L:$L,0,$H:$H,"&lt;&gt;")+COUNTIFS($J:$J,N32,$M:$M,0,$I:$I,"&lt;&gt;")</f>
        <v>0</v>
      </c>
      <c r="S32" s="3">
        <f>SUMIF($G:$G,N32,$H:$H)+SUMIF($J:$J,N32,$I:$I)</f>
        <v>0</v>
      </c>
      <c r="T32" s="3">
        <f>SUMIF($G:$G,N32,$I:$I)+SUMIF($J:$J,N32,$H:$H)</f>
        <v>0</v>
      </c>
      <c r="U32" s="3">
        <f t="shared" si="5"/>
        <v>0</v>
      </c>
      <c r="V32" s="3">
        <f>SUMIF($G:$G,N32,$L:$L)+SUMIF($J:$J,N32,$M:$M)</f>
        <v>0</v>
      </c>
      <c r="X32" s="31" t="str">
        <v>Ecuador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11"/>
      <c r="AH32" s="31" t="str">
        <v>Túnez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</row>
    <row r="33" spans="4:42" ht="15" thickBot="1" x14ac:dyDescent="0.35">
      <c r="D33" s="11">
        <v>20</v>
      </c>
      <c r="E33" s="12">
        <v>46189</v>
      </c>
      <c r="F33" s="28" t="s">
        <v>52</v>
      </c>
      <c r="G33" s="13" t="s">
        <v>55</v>
      </c>
      <c r="H33" s="28"/>
      <c r="I33" s="28"/>
      <c r="J33" s="14" t="s">
        <v>56</v>
      </c>
      <c r="L33">
        <f t="shared" si="0"/>
        <v>0</v>
      </c>
      <c r="M33">
        <f t="shared" si="1"/>
        <v>0</v>
      </c>
      <c r="O33" s="3">
        <f t="shared" si="4"/>
        <v>0</v>
      </c>
      <c r="P33" s="3">
        <f>COUNTIFS($G:$G,N33,$L:$L,3)+COUNTIFS($J:$J,N33,$M:$M,3)</f>
        <v>0</v>
      </c>
      <c r="Q33" s="3">
        <f>COUNTIFS($G:$G,N33,$L:$L,1)+COUNTIFS($J:$J,N33,$M:$M,1)</f>
        <v>0</v>
      </c>
      <c r="R33" s="3">
        <f>COUNTIFS($G:$G,N33,$L:$L,0,$H:$H,"&lt;&gt;")+COUNTIFS($J:$J,N33,$M:$M,0,$I:$I,"&lt;&gt;")</f>
        <v>0</v>
      </c>
      <c r="S33" s="3">
        <f>SUMIF($G:$G,N33,$H:$H)+SUMIF($J:$J,N33,$I:$I)</f>
        <v>0</v>
      </c>
      <c r="T33" s="3">
        <f>SUMIF($G:$G,N33,$I:$I)+SUMIF($J:$J,N33,$H:$H)</f>
        <v>0</v>
      </c>
      <c r="U33" s="3">
        <f t="shared" si="5"/>
        <v>0</v>
      </c>
      <c r="V33" s="3">
        <f>SUMIF($G:$G,N33,$L:$L)+SUMIF($J:$J,N33,$M:$M)</f>
        <v>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spans="4:42" ht="15.6" thickTop="1" thickBot="1" x14ac:dyDescent="0.35">
      <c r="D34" s="11">
        <v>21</v>
      </c>
      <c r="E34" s="12">
        <v>46190</v>
      </c>
      <c r="F34" s="28" t="s">
        <v>57</v>
      </c>
      <c r="G34" s="13" t="s">
        <v>58</v>
      </c>
      <c r="H34" s="28"/>
      <c r="I34" s="28"/>
      <c r="J34" s="14" t="s">
        <v>59</v>
      </c>
      <c r="L34">
        <f t="shared" si="0"/>
        <v>0</v>
      </c>
      <c r="M34">
        <f t="shared" si="1"/>
        <v>0</v>
      </c>
      <c r="N34" s="49" t="s">
        <v>79</v>
      </c>
      <c r="O34" s="49"/>
      <c r="P34" s="49"/>
      <c r="Q34" s="49"/>
      <c r="R34" s="49"/>
      <c r="S34" s="49"/>
      <c r="T34" s="49"/>
      <c r="U34" s="49"/>
      <c r="V34" s="49"/>
      <c r="X34" s="48" t="s">
        <v>82</v>
      </c>
      <c r="Y34" s="48"/>
      <c r="Z34" s="48"/>
      <c r="AA34" s="48"/>
      <c r="AB34" s="48"/>
      <c r="AC34" s="48"/>
      <c r="AD34" s="48"/>
      <c r="AE34" s="48"/>
      <c r="AF34" s="48"/>
      <c r="AG34" s="11"/>
      <c r="AH34" s="48" t="s">
        <v>83</v>
      </c>
      <c r="AI34" s="48"/>
      <c r="AJ34" s="48"/>
      <c r="AK34" s="48"/>
      <c r="AL34" s="48"/>
      <c r="AM34" s="48"/>
      <c r="AN34" s="48"/>
      <c r="AO34" s="48"/>
      <c r="AP34" s="48"/>
    </row>
    <row r="35" spans="4:42" ht="15.6" thickTop="1" thickBot="1" x14ac:dyDescent="0.35">
      <c r="D35" s="11">
        <v>22</v>
      </c>
      <c r="E35" s="12">
        <v>46190</v>
      </c>
      <c r="F35" s="28" t="s">
        <v>57</v>
      </c>
      <c r="G35" s="13" t="s">
        <v>60</v>
      </c>
      <c r="H35" s="28"/>
      <c r="I35" s="28"/>
      <c r="J35" s="14" t="s">
        <v>61</v>
      </c>
      <c r="L35">
        <f t="shared" si="0"/>
        <v>0</v>
      </c>
      <c r="M35">
        <f t="shared" si="1"/>
        <v>0</v>
      </c>
      <c r="N35" s="3" t="s">
        <v>70</v>
      </c>
      <c r="O35" s="3" t="s">
        <v>71</v>
      </c>
      <c r="P35" s="3" t="s">
        <v>37</v>
      </c>
      <c r="Q35" s="3" t="s">
        <v>27</v>
      </c>
      <c r="R35" s="3" t="s">
        <v>72</v>
      </c>
      <c r="S35" s="3" t="s">
        <v>73</v>
      </c>
      <c r="T35" s="3" t="s">
        <v>74</v>
      </c>
      <c r="U35" s="3" t="s">
        <v>75</v>
      </c>
      <c r="V35" s="3" t="s">
        <v>76</v>
      </c>
      <c r="X35" s="32" t="s">
        <v>70</v>
      </c>
      <c r="Y35" s="32" t="s">
        <v>71</v>
      </c>
      <c r="Z35" s="32" t="s">
        <v>37</v>
      </c>
      <c r="AA35" s="32" t="s">
        <v>27</v>
      </c>
      <c r="AB35" s="32" t="s">
        <v>72</v>
      </c>
      <c r="AC35" s="32" t="s">
        <v>73</v>
      </c>
      <c r="AD35" s="32" t="s">
        <v>74</v>
      </c>
      <c r="AE35" s="32" t="s">
        <v>75</v>
      </c>
      <c r="AF35" s="32" t="s">
        <v>76</v>
      </c>
      <c r="AG35" s="11"/>
      <c r="AH35" s="32" t="s">
        <v>70</v>
      </c>
      <c r="AI35" s="32" t="s">
        <v>71</v>
      </c>
      <c r="AJ35" s="32" t="s">
        <v>37</v>
      </c>
      <c r="AK35" s="32" t="s">
        <v>27</v>
      </c>
      <c r="AL35" s="32" t="s">
        <v>72</v>
      </c>
      <c r="AM35" s="32" t="s">
        <v>73</v>
      </c>
      <c r="AN35" s="32" t="s">
        <v>74</v>
      </c>
      <c r="AO35" s="32" t="s">
        <v>75</v>
      </c>
      <c r="AP35" s="32" t="s">
        <v>76</v>
      </c>
    </row>
    <row r="36" spans="4:42" ht="15" thickBot="1" x14ac:dyDescent="0.35">
      <c r="D36" s="11">
        <v>23</v>
      </c>
      <c r="E36" s="12">
        <v>46190</v>
      </c>
      <c r="F36" s="28" t="s">
        <v>62</v>
      </c>
      <c r="G36" s="13" t="s">
        <v>63</v>
      </c>
      <c r="H36" s="28"/>
      <c r="I36" s="28"/>
      <c r="J36" s="14" t="s">
        <v>65</v>
      </c>
      <c r="L36">
        <f t="shared" si="0"/>
        <v>0</v>
      </c>
      <c r="M36">
        <f t="shared" si="1"/>
        <v>0</v>
      </c>
      <c r="N36" t="s">
        <v>16</v>
      </c>
      <c r="O36" s="3">
        <f t="shared" si="4"/>
        <v>0</v>
      </c>
      <c r="P36" s="3">
        <f>COUNTIFS($G:$G,N36,$L:$L,3)+COUNTIFS($J:$J,N36,$M:$M,3)</f>
        <v>0</v>
      </c>
      <c r="Q36" s="3">
        <f>COUNTIFS($G:$G,N36,$L:$L,1)+COUNTIFS($J:$J,N36,$M:$M,1)</f>
        <v>0</v>
      </c>
      <c r="R36" s="3">
        <f>COUNTIFS($G:$G,N36,$L:$L,0,$H:$H,"&lt;&gt;")+COUNTIFS($J:$J,N36,$M:$M,0,$I:$I,"&lt;&gt;")</f>
        <v>0</v>
      </c>
      <c r="S36" s="3">
        <f>SUMIF($G:$G,N36,$H:$H)+SUMIF($J:$J,N36,$I:$I)</f>
        <v>0</v>
      </c>
      <c r="T36" s="3">
        <f>SUMIF($G:$G,N36,$I:$I)+SUMIF($J:$J,N36,$H:$H)</f>
        <v>0</v>
      </c>
      <c r="U36" s="3">
        <f t="shared" si="5"/>
        <v>0</v>
      </c>
      <c r="V36" s="3">
        <f>SUMIF($G:$G,N36,$L:$L)+SUMIF($J:$J,N36,$M:$M)</f>
        <v>0</v>
      </c>
      <c r="X36" s="30" t="str" cm="1">
        <f t="array" ref="X36:AF39">_xlfn.SORTBY(N57:V60,V57:V60, -1,U57:U60, -1, S57:S60, -1)</f>
        <v>Bélgica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11"/>
      <c r="AH36" s="30" t="str" cm="1">
        <f t="array" ref="AH36:AP39">_xlfn.SORTBY(N64:V67,V64:V67, -1, U64:U67, -1, S64:S67, -1)</f>
        <v>España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</row>
    <row r="37" spans="4:42" ht="15" thickBot="1" x14ac:dyDescent="0.35">
      <c r="D37" s="11">
        <v>24</v>
      </c>
      <c r="E37" s="12">
        <v>46190</v>
      </c>
      <c r="F37" s="28" t="s">
        <v>62</v>
      </c>
      <c r="G37" s="13" t="s">
        <v>64</v>
      </c>
      <c r="H37" s="28"/>
      <c r="I37" s="28"/>
      <c r="J37" s="14" t="s">
        <v>66</v>
      </c>
      <c r="L37">
        <f t="shared" si="0"/>
        <v>0</v>
      </c>
      <c r="M37">
        <f t="shared" si="1"/>
        <v>0</v>
      </c>
      <c r="N37" t="s">
        <v>17</v>
      </c>
      <c r="O37" s="3">
        <f t="shared" si="4"/>
        <v>0</v>
      </c>
      <c r="P37" s="3">
        <f>COUNTIFS($G:$G,N37,$L:$L,3)+COUNTIFS($J:$J,N37,$M:$M,3)</f>
        <v>0</v>
      </c>
      <c r="Q37" s="3">
        <f>COUNTIFS($G:$G,N37,$L:$L,1)+COUNTIFS($J:$J,N37,$M:$M,1)</f>
        <v>0</v>
      </c>
      <c r="R37" s="3">
        <f>COUNTIFS($G:$G,N37,$L:$L,0,$H:$H,"&lt;&gt;")+COUNTIFS($J:$J,N37,$M:$M,0,$I:$I,"&lt;&gt;")</f>
        <v>0</v>
      </c>
      <c r="S37" s="3">
        <f>SUMIF($G:$G,N37,$H:$H)+SUMIF($J:$J,N37,$I:$I)</f>
        <v>0</v>
      </c>
      <c r="T37" s="3">
        <f>SUMIF($G:$G,N37,$I:$I)+SUMIF($J:$J,N37,$H:$H)</f>
        <v>0</v>
      </c>
      <c r="U37" s="3">
        <f t="shared" si="5"/>
        <v>0</v>
      </c>
      <c r="V37" s="3">
        <f>SUMIF($G:$G,N37,$L:$L)+SUMIF($J:$J,N37,$M:$M)</f>
        <v>0</v>
      </c>
      <c r="X37" s="30" t="str">
        <v>Egipto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11"/>
      <c r="AH37" s="30" t="str">
        <v>Cabo Verde</v>
      </c>
      <c r="AI37" s="30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</row>
    <row r="38" spans="4:42" ht="15" thickBot="1" x14ac:dyDescent="0.35">
      <c r="D38" s="11">
        <v>25</v>
      </c>
      <c r="E38" s="12">
        <v>46191</v>
      </c>
      <c r="F38" s="28" t="s">
        <v>7</v>
      </c>
      <c r="G38" s="13" t="s">
        <v>8</v>
      </c>
      <c r="H38" s="28"/>
      <c r="I38" s="28"/>
      <c r="J38" s="14" t="s">
        <v>10</v>
      </c>
      <c r="L38">
        <f t="shared" si="0"/>
        <v>0</v>
      </c>
      <c r="M38">
        <f t="shared" si="1"/>
        <v>0</v>
      </c>
      <c r="N38" t="s">
        <v>25</v>
      </c>
      <c r="O38" s="3">
        <f t="shared" si="4"/>
        <v>0</v>
      </c>
      <c r="P38" s="3">
        <f>COUNTIFS($G:$G,N38,$L:$L,3)+COUNTIFS($J:$J,N38,$M:$M,3)</f>
        <v>0</v>
      </c>
      <c r="Q38" s="3">
        <f>COUNTIFS($G:$G,N38,$L:$L,1)+COUNTIFS($J:$J,N38,$M:$M,1)</f>
        <v>0</v>
      </c>
      <c r="R38" s="3">
        <f>COUNTIFS($G:$G,N38,$L:$L,0,$H:$H,"&lt;&gt;")+COUNTIFS($J:$J,N38,$M:$M,0,$I:$I,"&lt;&gt;")</f>
        <v>0</v>
      </c>
      <c r="S38" s="3">
        <f>SUMIF($G:$G,N38,$H:$H)+SUMIF($J:$J,N38,$I:$I)</f>
        <v>0</v>
      </c>
      <c r="T38" s="3">
        <f>SUMIF($G:$G,N38,$I:$I)+SUMIF($J:$J,N38,$H:$H)</f>
        <v>0</v>
      </c>
      <c r="U38" s="3">
        <f t="shared" si="5"/>
        <v>0</v>
      </c>
      <c r="V38" s="3">
        <f>SUMIF($G:$G,N38,$L:$L)+SUMIF($J:$J,N38,$M:$M)</f>
        <v>0</v>
      </c>
      <c r="X38" s="30" t="str">
        <v>Irán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11"/>
      <c r="AH38" s="30" t="str">
        <v>Arabia Saudí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</row>
    <row r="39" spans="4:42" ht="15" thickBot="1" x14ac:dyDescent="0.35">
      <c r="D39" s="11">
        <v>26</v>
      </c>
      <c r="E39" s="12">
        <v>46191</v>
      </c>
      <c r="F39" s="28" t="s">
        <v>7</v>
      </c>
      <c r="G39" s="13" t="s">
        <v>11</v>
      </c>
      <c r="H39" s="28"/>
      <c r="I39" s="28"/>
      <c r="J39" s="14" t="s">
        <v>9</v>
      </c>
      <c r="L39">
        <f t="shared" si="0"/>
        <v>0</v>
      </c>
      <c r="M39">
        <f t="shared" si="1"/>
        <v>0</v>
      </c>
      <c r="N39" t="s">
        <v>26</v>
      </c>
      <c r="O39" s="3">
        <f t="shared" si="4"/>
        <v>0</v>
      </c>
      <c r="P39" s="3">
        <f>COUNTIFS($G:$G,N39,$L:$L,3)+COUNTIFS($J:$J,N39,$M:$M,3)</f>
        <v>0</v>
      </c>
      <c r="Q39" s="3">
        <f>COUNTIFS($G:$G,N39,$L:$L,1)+COUNTIFS($J:$J,N39,$M:$M,1)</f>
        <v>0</v>
      </c>
      <c r="R39" s="3">
        <f>COUNTIFS($G:$G,N39,$L:$L,0,$H:$H,"&lt;&gt;")+COUNTIFS($J:$J,N39,$M:$M,0,$I:$I,"&lt;&gt;")</f>
        <v>0</v>
      </c>
      <c r="S39" s="3">
        <f>SUMIF($G:$G,N39,$H:$H)+SUMIF($J:$J,N39,$I:$I)</f>
        <v>0</v>
      </c>
      <c r="T39" s="3">
        <f>SUMIF($G:$G,N39,$I:$I)+SUMIF($J:$J,N39,$H:$H)</f>
        <v>0</v>
      </c>
      <c r="U39" s="3">
        <f t="shared" si="5"/>
        <v>0</v>
      </c>
      <c r="V39" s="3">
        <f>SUMIF($G:$G,N39,$L:$L)+SUMIF($J:$J,N39,$M:$M)</f>
        <v>0</v>
      </c>
      <c r="X39" s="31" t="str">
        <v>Nueva Zelanda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11"/>
      <c r="AH39" s="31" t="str">
        <v>Uruguay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</row>
    <row r="40" spans="4:42" ht="15" thickBot="1" x14ac:dyDescent="0.35">
      <c r="D40" s="11">
        <v>27</v>
      </c>
      <c r="E40" s="12">
        <v>46191</v>
      </c>
      <c r="F40" s="28" t="s">
        <v>12</v>
      </c>
      <c r="G40" s="13" t="s">
        <v>13</v>
      </c>
      <c r="H40" s="28"/>
      <c r="I40" s="28"/>
      <c r="J40" s="14" t="s">
        <v>18</v>
      </c>
      <c r="L40">
        <f t="shared" si="0"/>
        <v>0</v>
      </c>
      <c r="M40">
        <f t="shared" si="1"/>
        <v>0</v>
      </c>
      <c r="O40" s="3">
        <f t="shared" si="4"/>
        <v>0</v>
      </c>
      <c r="P40" s="3">
        <f>COUNTIFS($G:$G,N40,$L:$L,3)+COUNTIFS($J:$J,N40,$M:$M,3)</f>
        <v>0</v>
      </c>
      <c r="Q40" s="3">
        <f>COUNTIFS($G:$G,N40,$L:$L,1)+COUNTIFS($J:$J,N40,$M:$M,1)</f>
        <v>0</v>
      </c>
      <c r="R40" s="3">
        <f>COUNTIFS($G:$G,N40,$L:$L,0,$H:$H,"&lt;&gt;")+COUNTIFS($J:$J,N40,$M:$M,0,$I:$I,"&lt;&gt;")</f>
        <v>0</v>
      </c>
      <c r="S40" s="3">
        <f>SUMIF($G:$G,N40,$H:$H)+SUMIF($J:$J,N40,$I:$I)</f>
        <v>0</v>
      </c>
      <c r="T40" s="3">
        <f>SUMIF($G:$G,N40,$I:$I)+SUMIF($J:$J,N40,$H:$H)</f>
        <v>0</v>
      </c>
      <c r="U40" s="3">
        <f t="shared" si="5"/>
        <v>0</v>
      </c>
      <c r="V40" s="3">
        <f>SUMIF($G:$G,N40,$L:$L)+SUMIF($J:$J,N40,$M:$M)</f>
        <v>0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spans="4:42" ht="15.6" thickTop="1" thickBot="1" x14ac:dyDescent="0.35">
      <c r="D41" s="11">
        <v>28</v>
      </c>
      <c r="E41" s="12">
        <v>46191</v>
      </c>
      <c r="F41" s="28" t="s">
        <v>12</v>
      </c>
      <c r="G41" s="13" t="s">
        <v>19</v>
      </c>
      <c r="H41" s="28"/>
      <c r="I41" s="28"/>
      <c r="J41" s="14" t="s">
        <v>14</v>
      </c>
      <c r="L41">
        <f t="shared" si="0"/>
        <v>0</v>
      </c>
      <c r="M41">
        <f t="shared" si="1"/>
        <v>0</v>
      </c>
      <c r="N41" s="49" t="s">
        <v>80</v>
      </c>
      <c r="O41" s="49"/>
      <c r="P41" s="49"/>
      <c r="Q41" s="49"/>
      <c r="R41" s="49"/>
      <c r="S41" s="49"/>
      <c r="T41" s="49"/>
      <c r="U41" s="49"/>
      <c r="V41" s="49"/>
      <c r="X41" s="48" t="s">
        <v>84</v>
      </c>
      <c r="Y41" s="48"/>
      <c r="Z41" s="48"/>
      <c r="AA41" s="48"/>
      <c r="AB41" s="48"/>
      <c r="AC41" s="48"/>
      <c r="AD41" s="48"/>
      <c r="AE41" s="48"/>
      <c r="AF41" s="48"/>
      <c r="AG41" s="11"/>
      <c r="AH41" s="48" t="s">
        <v>85</v>
      </c>
      <c r="AI41" s="48"/>
      <c r="AJ41" s="48"/>
      <c r="AK41" s="48"/>
      <c r="AL41" s="48"/>
      <c r="AM41" s="48"/>
      <c r="AN41" s="48"/>
      <c r="AO41" s="48"/>
      <c r="AP41" s="48"/>
    </row>
    <row r="42" spans="4:42" ht="18" customHeight="1" thickTop="1" thickBot="1" x14ac:dyDescent="0.35">
      <c r="D42" s="11">
        <v>29</v>
      </c>
      <c r="E42" s="12">
        <v>46192</v>
      </c>
      <c r="F42" s="28" t="s">
        <v>20</v>
      </c>
      <c r="G42" s="13" t="s">
        <v>21</v>
      </c>
      <c r="H42" s="28"/>
      <c r="I42" s="28"/>
      <c r="J42" s="14" t="s">
        <v>23</v>
      </c>
      <c r="L42">
        <f t="shared" si="0"/>
        <v>0</v>
      </c>
      <c r="M42">
        <f t="shared" si="1"/>
        <v>0</v>
      </c>
      <c r="N42" s="3" t="s">
        <v>70</v>
      </c>
      <c r="O42" s="3" t="s">
        <v>71</v>
      </c>
      <c r="P42" s="3" t="s">
        <v>37</v>
      </c>
      <c r="Q42" s="3" t="s">
        <v>27</v>
      </c>
      <c r="R42" s="3" t="s">
        <v>72</v>
      </c>
      <c r="S42" s="3" t="s">
        <v>73</v>
      </c>
      <c r="T42" s="3" t="s">
        <v>74</v>
      </c>
      <c r="U42" s="3" t="s">
        <v>75</v>
      </c>
      <c r="V42" s="3" t="s">
        <v>76</v>
      </c>
      <c r="X42" s="32" t="s">
        <v>70</v>
      </c>
      <c r="Y42" s="32" t="s">
        <v>71</v>
      </c>
      <c r="Z42" s="32" t="s">
        <v>37</v>
      </c>
      <c r="AA42" s="32" t="s">
        <v>27</v>
      </c>
      <c r="AB42" s="32" t="s">
        <v>72</v>
      </c>
      <c r="AC42" s="32" t="s">
        <v>73</v>
      </c>
      <c r="AD42" s="32" t="s">
        <v>74</v>
      </c>
      <c r="AE42" s="32" t="s">
        <v>75</v>
      </c>
      <c r="AF42" s="32" t="s">
        <v>76</v>
      </c>
      <c r="AG42" s="11"/>
      <c r="AH42" s="32" t="s">
        <v>70</v>
      </c>
      <c r="AI42" s="32" t="s">
        <v>71</v>
      </c>
      <c r="AJ42" s="32" t="s">
        <v>37</v>
      </c>
      <c r="AK42" s="32" t="s">
        <v>27</v>
      </c>
      <c r="AL42" s="32" t="s">
        <v>72</v>
      </c>
      <c r="AM42" s="32" t="s">
        <v>73</v>
      </c>
      <c r="AN42" s="32" t="s">
        <v>74</v>
      </c>
      <c r="AO42" s="32" t="s">
        <v>75</v>
      </c>
      <c r="AP42" s="32" t="s">
        <v>76</v>
      </c>
    </row>
    <row r="43" spans="4:42" ht="18" customHeight="1" thickBot="1" x14ac:dyDescent="0.35">
      <c r="D43" s="11">
        <v>30</v>
      </c>
      <c r="E43" s="12">
        <v>46192</v>
      </c>
      <c r="F43" s="28" t="s">
        <v>20</v>
      </c>
      <c r="G43" s="13" t="s">
        <v>24</v>
      </c>
      <c r="H43" s="28"/>
      <c r="I43" s="28"/>
      <c r="J43" s="14" t="s">
        <v>22</v>
      </c>
      <c r="L43">
        <f t="shared" si="0"/>
        <v>0</v>
      </c>
      <c r="M43">
        <f t="shared" si="1"/>
        <v>0</v>
      </c>
      <c r="N43" t="s">
        <v>28</v>
      </c>
      <c r="O43" s="3">
        <f t="shared" si="4"/>
        <v>0</v>
      </c>
      <c r="P43" s="3">
        <f>COUNTIFS($G:$G,N43,$L:$L,3)+COUNTIFS($J:$J,N43,$M:$M,3)</f>
        <v>0</v>
      </c>
      <c r="Q43" s="3">
        <f>COUNTIFS($G:$G,N43,$L:$L,1)+COUNTIFS($J:$J,N43,$M:$M,1)</f>
        <v>0</v>
      </c>
      <c r="R43" s="3">
        <f>COUNTIFS($G:$G,N43,$L:$L,0,$H:$H,"&lt;&gt;")+COUNTIFS($J:$J,N43,$M:$M,0,$I:$I,"&lt;&gt;")</f>
        <v>0</v>
      </c>
      <c r="S43" s="3">
        <f>SUMIF($G:$G,N43,$H:$H)+SUMIF($J:$J,N43,$I:$I)</f>
        <v>0</v>
      </c>
      <c r="T43" s="3">
        <f>SUMIF($G:$G,N43,$I:$I)+SUMIF($J:$J,N43,$H:$H)</f>
        <v>0</v>
      </c>
      <c r="U43" s="3">
        <f t="shared" si="5"/>
        <v>0</v>
      </c>
      <c r="V43" s="3">
        <f>SUMIF($G:$G,N43,$L:$L)+SUMIF($J:$J,N43,$M:$M)</f>
        <v>0</v>
      </c>
      <c r="X43" s="30" t="str" cm="1">
        <f t="array" ref="X43:AF46">_xlfn.SORTBY(N71:V74,V71:V74, -1, U71:U74, -1, S71:S74, -1)</f>
        <v>Francia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11"/>
      <c r="AH43" s="30" t="str" cm="1">
        <f t="array" ref="AH43:AP46">_xlfn.SORTBY(N78:V81,V78:V81, -1, U78:U81, -1, S78:S81, -1)</f>
        <v>Argentina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</row>
    <row r="44" spans="4:42" ht="18" customHeight="1" thickBot="1" x14ac:dyDescent="0.35">
      <c r="D44" s="11">
        <v>31</v>
      </c>
      <c r="E44" s="12">
        <v>46192</v>
      </c>
      <c r="F44" s="28" t="s">
        <v>15</v>
      </c>
      <c r="G44" s="13" t="s">
        <v>16</v>
      </c>
      <c r="H44" s="28"/>
      <c r="I44" s="28"/>
      <c r="J44" s="14" t="s">
        <v>25</v>
      </c>
      <c r="L44">
        <f t="shared" si="0"/>
        <v>0</v>
      </c>
      <c r="M44">
        <f t="shared" si="1"/>
        <v>0</v>
      </c>
      <c r="N44" t="s">
        <v>29</v>
      </c>
      <c r="O44" s="3">
        <f t="shared" si="4"/>
        <v>0</v>
      </c>
      <c r="P44" s="3">
        <f>COUNTIFS($G:$G,N44,$L:$L,3)+COUNTIFS($J:$J,N44,$M:$M,3)</f>
        <v>0</v>
      </c>
      <c r="Q44" s="3">
        <f>COUNTIFS($G:$G,N44,$L:$L,1)+COUNTIFS($J:$J,N44,$M:$M,1)</f>
        <v>0</v>
      </c>
      <c r="R44" s="3">
        <f>COUNTIFS($G:$G,N44,$L:$L,0,$H:$H,"&lt;&gt;")+COUNTIFS($J:$J,N44,$M:$M,0,$I:$I,"&lt;&gt;")</f>
        <v>0</v>
      </c>
      <c r="S44" s="3">
        <f>SUMIF($G:$G,N44,$H:$H)+SUMIF($J:$J,N44,$I:$I)</f>
        <v>0</v>
      </c>
      <c r="T44" s="3">
        <f>SUMIF($G:$G,N44,$I:$I)+SUMIF($J:$J,N44,$H:$H)</f>
        <v>0</v>
      </c>
      <c r="U44" s="3">
        <f t="shared" si="5"/>
        <v>0</v>
      </c>
      <c r="V44" s="3">
        <f>SUMIF($G:$G,N44,$L:$L)+SUMIF($J:$J,N44,$M:$M)</f>
        <v>0</v>
      </c>
      <c r="X44" s="30" t="str">
        <v>Senegal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11"/>
      <c r="AH44" s="30" t="str">
        <v>Argelia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</row>
    <row r="45" spans="4:42" ht="18" customHeight="1" thickBot="1" x14ac:dyDescent="0.35">
      <c r="D45" s="11">
        <v>32</v>
      </c>
      <c r="E45" s="12">
        <v>46192</v>
      </c>
      <c r="F45" s="28" t="s">
        <v>15</v>
      </c>
      <c r="G45" s="13" t="s">
        <v>26</v>
      </c>
      <c r="H45" s="28"/>
      <c r="I45" s="28"/>
      <c r="J45" s="14" t="s">
        <v>17</v>
      </c>
      <c r="L45">
        <f t="shared" si="0"/>
        <v>0</v>
      </c>
      <c r="M45">
        <f t="shared" si="1"/>
        <v>0</v>
      </c>
      <c r="N45" t="s">
        <v>30</v>
      </c>
      <c r="O45" s="3">
        <f t="shared" si="4"/>
        <v>0</v>
      </c>
      <c r="P45" s="3">
        <f>COUNTIFS($G:$G,N45,$L:$L,3)+COUNTIFS($J:$J,N45,$M:$M,3)</f>
        <v>0</v>
      </c>
      <c r="Q45" s="3">
        <f>COUNTIFS($G:$G,N45,$L:$L,1)+COUNTIFS($J:$J,N45,$M:$M,1)</f>
        <v>0</v>
      </c>
      <c r="R45" s="3">
        <f>COUNTIFS($G:$G,N45,$L:$L,0,$H:$H,"&lt;&gt;")+COUNTIFS($J:$J,N45,$M:$M,0,$I:$I,"&lt;&gt;")</f>
        <v>0</v>
      </c>
      <c r="S45" s="3">
        <f>SUMIF($G:$G,N45,$H:$H)+SUMIF($J:$J,N45,$I:$I)</f>
        <v>0</v>
      </c>
      <c r="T45" s="3">
        <f>SUMIF($G:$G,N45,$I:$I)+SUMIF($J:$J,N45,$H:$H)</f>
        <v>0</v>
      </c>
      <c r="U45" s="3">
        <f t="shared" si="5"/>
        <v>0</v>
      </c>
      <c r="V45" s="3">
        <f>SUMIF($G:$G,N45,$L:$L)+SUMIF($J:$J,N45,$M:$M)</f>
        <v>0</v>
      </c>
      <c r="X45" s="30" t="str">
        <v>Irak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11"/>
      <c r="AH45" s="30" t="str">
        <v>Austria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</row>
    <row r="46" spans="4:42" ht="15" thickBot="1" x14ac:dyDescent="0.35">
      <c r="D46" s="11">
        <v>33</v>
      </c>
      <c r="E46" s="12">
        <v>46193</v>
      </c>
      <c r="F46" s="28" t="s">
        <v>27</v>
      </c>
      <c r="G46" s="13" t="s">
        <v>28</v>
      </c>
      <c r="H46" s="28"/>
      <c r="I46" s="28"/>
      <c r="J46" s="14" t="s">
        <v>30</v>
      </c>
      <c r="L46">
        <f t="shared" si="0"/>
        <v>0</v>
      </c>
      <c r="M46">
        <f t="shared" si="1"/>
        <v>0</v>
      </c>
      <c r="N46" t="s">
        <v>31</v>
      </c>
      <c r="O46" s="3">
        <f t="shared" si="4"/>
        <v>0</v>
      </c>
      <c r="P46" s="3">
        <f>COUNTIFS($G:$G,N46,$L:$L,3)+COUNTIFS($J:$J,N46,$M:$M,3)</f>
        <v>0</v>
      </c>
      <c r="Q46" s="3">
        <f>COUNTIFS($G:$G,N46,$L:$L,1)+COUNTIFS($J:$J,N46,$M:$M,1)</f>
        <v>0</v>
      </c>
      <c r="R46" s="3">
        <f>COUNTIFS($G:$G,N46,$L:$L,0,$H:$H,"&lt;&gt;")+COUNTIFS($J:$J,N46,$M:$M,0,$I:$I,"&lt;&gt;")</f>
        <v>0</v>
      </c>
      <c r="S46" s="3">
        <f>SUMIF($G:$G,N46,$H:$H)+SUMIF($J:$J,N46,$I:$I)</f>
        <v>0</v>
      </c>
      <c r="T46" s="3">
        <f>SUMIF($G:$G,N46,$I:$I)+SUMIF($J:$J,N46,$H:$H)</f>
        <v>0</v>
      </c>
      <c r="U46" s="3">
        <f t="shared" si="5"/>
        <v>0</v>
      </c>
      <c r="V46" s="3">
        <f>SUMIF($G:$G,N46,$L:$L)+SUMIF($J:$J,N46,$M:$M)</f>
        <v>0</v>
      </c>
      <c r="X46" s="31" t="str">
        <v>Noruega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11"/>
      <c r="AH46" s="31" t="str">
        <v>Jordania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</row>
    <row r="47" spans="4:42" ht="15" thickBot="1" x14ac:dyDescent="0.35">
      <c r="D47" s="11">
        <v>34</v>
      </c>
      <c r="E47" s="12">
        <v>46193</v>
      </c>
      <c r="F47" s="28" t="s">
        <v>27</v>
      </c>
      <c r="G47" s="13" t="s">
        <v>31</v>
      </c>
      <c r="H47" s="28"/>
      <c r="I47" s="28"/>
      <c r="J47" s="14" t="s">
        <v>29</v>
      </c>
      <c r="L47">
        <f t="shared" si="0"/>
        <v>0</v>
      </c>
      <c r="M47">
        <f t="shared" si="1"/>
        <v>0</v>
      </c>
      <c r="O47" s="3">
        <f t="shared" si="4"/>
        <v>0</v>
      </c>
      <c r="P47" s="3">
        <f>COUNTIFS($G:$G,N47,$L:$L,3)+COUNTIFS($J:$J,N47,$M:$M,3)</f>
        <v>0</v>
      </c>
      <c r="Q47" s="3">
        <f>COUNTIFS($G:$G,N47,$L:$L,1)+COUNTIFS($J:$J,N47,$M:$M,1)</f>
        <v>0</v>
      </c>
      <c r="R47" s="3">
        <f>COUNTIFS($G:$G,N47,$L:$L,0,$H:$H,"&lt;&gt;")+COUNTIFS($J:$J,N47,$M:$M,0,$I:$I,"&lt;&gt;")</f>
        <v>0</v>
      </c>
      <c r="S47" s="3">
        <f>SUMIF($G:$G,N47,$H:$H)+SUMIF($J:$J,N47,$I:$I)</f>
        <v>0</v>
      </c>
      <c r="T47" s="3">
        <f>SUMIF($G:$G,N47,$I:$I)+SUMIF($J:$J,N47,$H:$H)</f>
        <v>0</v>
      </c>
      <c r="U47" s="3">
        <f t="shared" si="5"/>
        <v>0</v>
      </c>
      <c r="V47" s="3">
        <f>SUMIF($G:$G,N47,$L:$L)+SUMIF($J:$J,N47,$M:$M)</f>
        <v>0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</row>
    <row r="48" spans="4:42" ht="15.6" thickTop="1" thickBot="1" x14ac:dyDescent="0.35">
      <c r="D48" s="11">
        <v>35</v>
      </c>
      <c r="E48" s="12">
        <v>46193</v>
      </c>
      <c r="F48" s="28" t="s">
        <v>32</v>
      </c>
      <c r="G48" s="13" t="s">
        <v>33</v>
      </c>
      <c r="H48" s="28"/>
      <c r="I48" s="28"/>
      <c r="J48" s="14" t="s">
        <v>35</v>
      </c>
      <c r="L48">
        <f t="shared" si="0"/>
        <v>0</v>
      </c>
      <c r="M48">
        <f t="shared" si="1"/>
        <v>0</v>
      </c>
      <c r="N48" s="49" t="s">
        <v>81</v>
      </c>
      <c r="O48" s="49"/>
      <c r="P48" s="49"/>
      <c r="Q48" s="49"/>
      <c r="R48" s="49"/>
      <c r="S48" s="49"/>
      <c r="T48" s="49"/>
      <c r="U48" s="49"/>
      <c r="V48" s="49"/>
      <c r="X48" s="48" t="s">
        <v>86</v>
      </c>
      <c r="Y48" s="48"/>
      <c r="Z48" s="48"/>
      <c r="AA48" s="48"/>
      <c r="AB48" s="48"/>
      <c r="AC48" s="48"/>
      <c r="AD48" s="48"/>
      <c r="AE48" s="48"/>
      <c r="AF48" s="48"/>
      <c r="AG48" s="11"/>
      <c r="AH48" s="48" t="s">
        <v>87</v>
      </c>
      <c r="AI48" s="48"/>
      <c r="AJ48" s="48"/>
      <c r="AK48" s="48"/>
      <c r="AL48" s="48"/>
      <c r="AM48" s="48"/>
      <c r="AN48" s="48"/>
      <c r="AO48" s="48"/>
      <c r="AP48" s="48"/>
    </row>
    <row r="49" spans="4:42" ht="15.6" thickTop="1" thickBot="1" x14ac:dyDescent="0.35">
      <c r="D49" s="11">
        <v>36</v>
      </c>
      <c r="E49" s="12">
        <v>46193</v>
      </c>
      <c r="F49" s="28" t="s">
        <v>32</v>
      </c>
      <c r="G49" s="13" t="s">
        <v>36</v>
      </c>
      <c r="H49" s="28"/>
      <c r="I49" s="28"/>
      <c r="J49" s="14" t="s">
        <v>34</v>
      </c>
      <c r="L49">
        <f t="shared" si="0"/>
        <v>0</v>
      </c>
      <c r="M49">
        <f t="shared" si="1"/>
        <v>0</v>
      </c>
      <c r="N49" s="3" t="s">
        <v>70</v>
      </c>
      <c r="O49" s="3" t="s">
        <v>71</v>
      </c>
      <c r="P49" s="3" t="s">
        <v>37</v>
      </c>
      <c r="Q49" s="3" t="s">
        <v>27</v>
      </c>
      <c r="R49" s="3" t="s">
        <v>72</v>
      </c>
      <c r="S49" s="3" t="s">
        <v>73</v>
      </c>
      <c r="T49" s="3" t="s">
        <v>74</v>
      </c>
      <c r="U49" s="3" t="s">
        <v>75</v>
      </c>
      <c r="V49" s="3" t="s">
        <v>76</v>
      </c>
      <c r="X49" s="32" t="s">
        <v>70</v>
      </c>
      <c r="Y49" s="32" t="s">
        <v>71</v>
      </c>
      <c r="Z49" s="32" t="s">
        <v>37</v>
      </c>
      <c r="AA49" s="32" t="s">
        <v>27</v>
      </c>
      <c r="AB49" s="32" t="s">
        <v>72</v>
      </c>
      <c r="AC49" s="32" t="s">
        <v>73</v>
      </c>
      <c r="AD49" s="32" t="s">
        <v>74</v>
      </c>
      <c r="AE49" s="32" t="s">
        <v>75</v>
      </c>
      <c r="AF49" s="32" t="s">
        <v>76</v>
      </c>
      <c r="AG49" s="11"/>
      <c r="AH49" s="32" t="s">
        <v>70</v>
      </c>
      <c r="AI49" s="32" t="s">
        <v>71</v>
      </c>
      <c r="AJ49" s="32" t="s">
        <v>37</v>
      </c>
      <c r="AK49" s="32" t="s">
        <v>27</v>
      </c>
      <c r="AL49" s="32" t="s">
        <v>72</v>
      </c>
      <c r="AM49" s="32" t="s">
        <v>73</v>
      </c>
      <c r="AN49" s="32" t="s">
        <v>74</v>
      </c>
      <c r="AO49" s="32" t="s">
        <v>75</v>
      </c>
      <c r="AP49" s="32" t="s">
        <v>76</v>
      </c>
    </row>
    <row r="50" spans="4:42" ht="15" thickBot="1" x14ac:dyDescent="0.35">
      <c r="D50" s="11">
        <v>37</v>
      </c>
      <c r="E50" s="12">
        <v>46194</v>
      </c>
      <c r="F50" s="28" t="s">
        <v>37</v>
      </c>
      <c r="G50" s="13" t="s">
        <v>38</v>
      </c>
      <c r="H50" s="28"/>
      <c r="I50" s="28"/>
      <c r="J50" s="14" t="s">
        <v>40</v>
      </c>
      <c r="L50">
        <f t="shared" si="0"/>
        <v>0</v>
      </c>
      <c r="M50">
        <f t="shared" si="1"/>
        <v>0</v>
      </c>
      <c r="N50" t="s">
        <v>33</v>
      </c>
      <c r="O50" s="3">
        <f>P50+Q50+R50</f>
        <v>0</v>
      </c>
      <c r="P50" s="3">
        <f>COUNTIFS($G:$G,N50,$L:$L,3)+COUNTIFS($J:$J,N50,$M:$M,3)</f>
        <v>0</v>
      </c>
      <c r="Q50" s="3">
        <f>COUNTIFS($G:$G,N50,$L:$L,1)+COUNTIFS($J:$J,N50,$M:$M,1)</f>
        <v>0</v>
      </c>
      <c r="R50" s="3">
        <f>COUNTIFS($G:$G,N50,$L:$L,0,$H:$H,"&lt;&gt;")+COUNTIFS($J:$J,N50,$M:$M,0,$I:$I,"&lt;&gt;")</f>
        <v>0</v>
      </c>
      <c r="S50" s="3">
        <f>SUMIF($G:$G,N50,$H:$H)+SUMIF($J:$J,N50,$I:$I)</f>
        <v>0</v>
      </c>
      <c r="T50" s="3">
        <f>SUMIF($G:$G,N50,$I:$I)+SUMIF($J:$J,N50,$H:$H)</f>
        <v>0</v>
      </c>
      <c r="U50" s="3">
        <f t="shared" si="5"/>
        <v>0</v>
      </c>
      <c r="V50" s="3">
        <f>SUMIF($G:$G,N50,$L:$L)+SUMIF($J:$J,N50,$M:$M)</f>
        <v>0</v>
      </c>
      <c r="X50" s="30" t="str" cm="1">
        <f t="array" ref="X50:AF53">_xlfn.SORTBY(N85:V88,V85:V88, -1, U85:U88, -1, S85:S88, -1)</f>
        <v>Portugal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11"/>
      <c r="AH50" s="30" t="str" cm="1">
        <f t="array" ref="AH50:AP53">_xlfn.SORTBY(N93:V96,V93:V96, -1, U93:U96, -1, S93:S96, -1)</f>
        <v>Inglaterra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</row>
    <row r="51" spans="4:42" ht="15" thickBot="1" x14ac:dyDescent="0.35">
      <c r="D51" s="11">
        <v>38</v>
      </c>
      <c r="E51" s="12">
        <v>46194</v>
      </c>
      <c r="F51" s="28" t="s">
        <v>37</v>
      </c>
      <c r="G51" s="13" t="s">
        <v>41</v>
      </c>
      <c r="H51" s="28"/>
      <c r="I51" s="28"/>
      <c r="J51" s="14" t="s">
        <v>39</v>
      </c>
      <c r="L51">
        <f t="shared" si="0"/>
        <v>0</v>
      </c>
      <c r="M51">
        <f t="shared" si="1"/>
        <v>0</v>
      </c>
      <c r="N51" t="s">
        <v>34</v>
      </c>
      <c r="O51" s="3">
        <f t="shared" si="4"/>
        <v>0</v>
      </c>
      <c r="P51" s="3">
        <f>COUNTIFS($G:$G,N51,$L:$L,3)+COUNTIFS($J:$J,N51,$M:$M,3)</f>
        <v>0</v>
      </c>
      <c r="Q51" s="3">
        <f>COUNTIFS($G:$G,N51,$L:$L,1)+COUNTIFS($J:$J,N51,$M:$M,1)</f>
        <v>0</v>
      </c>
      <c r="R51" s="3">
        <f>COUNTIFS($G:$G,N51,$L:$L,0,$H:$H,"&lt;&gt;")+COUNTIFS($J:$J,N51,$M:$M,0,$I:$I,"&lt;&gt;")</f>
        <v>0</v>
      </c>
      <c r="S51" s="3">
        <f>SUMIF($G:$G,N51,$H:$H)+SUMIF($J:$J,N51,$I:$I)</f>
        <v>0</v>
      </c>
      <c r="T51" s="3">
        <f>SUMIF($G:$G,N51,$I:$I)+SUMIF($J:$J,N51,$H:$H)</f>
        <v>0</v>
      </c>
      <c r="U51" s="3">
        <f t="shared" si="5"/>
        <v>0</v>
      </c>
      <c r="V51" s="3">
        <f>SUMIF($G:$G,N51,$L:$L)+SUMIF($J:$J,N51,$M:$M)</f>
        <v>0</v>
      </c>
      <c r="X51" s="30" t="str">
        <v>RD Congo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11"/>
      <c r="AH51" s="30" t="str">
        <v>Croacia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</row>
    <row r="52" spans="4:42" ht="15" thickBot="1" x14ac:dyDescent="0.35">
      <c r="D52" s="11">
        <v>39</v>
      </c>
      <c r="E52" s="12">
        <v>46194</v>
      </c>
      <c r="F52" s="28" t="s">
        <v>42</v>
      </c>
      <c r="G52" s="13" t="s">
        <v>43</v>
      </c>
      <c r="H52" s="28"/>
      <c r="I52" s="28"/>
      <c r="J52" s="14" t="s">
        <v>46</v>
      </c>
      <c r="L52">
        <f t="shared" si="0"/>
        <v>0</v>
      </c>
      <c r="M52">
        <f t="shared" si="1"/>
        <v>0</v>
      </c>
      <c r="N52" t="s">
        <v>35</v>
      </c>
      <c r="O52" s="3">
        <f t="shared" si="4"/>
        <v>0</v>
      </c>
      <c r="P52" s="3">
        <f>COUNTIFS($G:$G,N52,$L:$L,3)+COUNTIFS($J:$J,N52,$M:$M,3)</f>
        <v>0</v>
      </c>
      <c r="Q52" s="3">
        <f>COUNTIFS($G:$G,N52,$L:$L,1)+COUNTIFS($J:$J,N52,$M:$M,1)</f>
        <v>0</v>
      </c>
      <c r="R52" s="3">
        <f>COUNTIFS($G:$G,N52,$L:$L,0,$H:$H,"&lt;&gt;")+COUNTIFS($J:$J,N52,$M:$M,0,$I:$I,"&lt;&gt;")</f>
        <v>0</v>
      </c>
      <c r="S52" s="3">
        <f>SUMIF($G:$G,N52,$H:$H)+SUMIF($J:$J,N52,$I:$I)</f>
        <v>0</v>
      </c>
      <c r="T52" s="3">
        <f>SUMIF($G:$G,N52,$I:$I)+SUMIF($J:$J,N52,$H:$H)</f>
        <v>0</v>
      </c>
      <c r="U52" s="3">
        <f t="shared" si="5"/>
        <v>0</v>
      </c>
      <c r="V52" s="3">
        <f>SUMIF($G:$G,N52,$L:$L)+SUMIF($J:$J,N52,$M:$M)</f>
        <v>0</v>
      </c>
      <c r="X52" s="4" t="str">
        <v>Uzbekistán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H52" s="4" t="str">
        <v>Ghana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</row>
    <row r="53" spans="4:42" ht="15" thickBot="1" x14ac:dyDescent="0.35">
      <c r="D53" s="11">
        <v>40</v>
      </c>
      <c r="E53" s="12">
        <v>46194</v>
      </c>
      <c r="F53" s="28" t="s">
        <v>42</v>
      </c>
      <c r="G53" s="13" t="s">
        <v>45</v>
      </c>
      <c r="H53" s="28"/>
      <c r="I53" s="28"/>
      <c r="J53" s="14" t="s">
        <v>44</v>
      </c>
      <c r="L53">
        <f t="shared" si="0"/>
        <v>0</v>
      </c>
      <c r="M53">
        <f t="shared" si="1"/>
        <v>0</v>
      </c>
      <c r="N53" t="s">
        <v>36</v>
      </c>
      <c r="O53" s="3">
        <f t="shared" si="4"/>
        <v>0</v>
      </c>
      <c r="P53" s="3">
        <f>COUNTIFS($G:$G,N53,$L:$L,3)+COUNTIFS($J:$J,N53,$M:$M,3)</f>
        <v>0</v>
      </c>
      <c r="Q53" s="3">
        <f>COUNTIFS($G:$G,N53,$L:$L,1)+COUNTIFS($J:$J,N53,$M:$M,1)</f>
        <v>0</v>
      </c>
      <c r="R53" s="3">
        <f>COUNTIFS($G:$G,N53,$L:$L,0,$H:$H,"&lt;&gt;")+COUNTIFS($J:$J,N53,$M:$M,0,$I:$I,"&lt;&gt;")</f>
        <v>0</v>
      </c>
      <c r="S53" s="3">
        <f>SUMIF($G:$G,N53,$H:$H)+SUMIF($J:$J,N53,$I:$I)</f>
        <v>0</v>
      </c>
      <c r="T53" s="3">
        <f>SUMIF($G:$G,N53,$I:$I)+SUMIF($J:$J,N53,$H:$H)</f>
        <v>0</v>
      </c>
      <c r="U53" s="3">
        <f t="shared" si="5"/>
        <v>0</v>
      </c>
      <c r="V53" s="3">
        <f>SUMIF($G:$G,N53,$L:$L)+SUMIF($J:$J,N53,$M:$M)</f>
        <v>0</v>
      </c>
      <c r="X53" s="6" t="str">
        <v>Colombia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H53" s="6" t="str">
        <v>Panamá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</row>
    <row r="54" spans="4:42" ht="21" customHeight="1" thickBot="1" x14ac:dyDescent="0.35">
      <c r="D54" s="11">
        <v>41</v>
      </c>
      <c r="E54" s="12">
        <v>46195</v>
      </c>
      <c r="F54" s="28" t="s">
        <v>47</v>
      </c>
      <c r="G54" s="13" t="s">
        <v>48</v>
      </c>
      <c r="H54" s="28"/>
      <c r="I54" s="28"/>
      <c r="J54" s="14" t="s">
        <v>50</v>
      </c>
      <c r="L54">
        <f t="shared" si="0"/>
        <v>0</v>
      </c>
      <c r="M54">
        <f t="shared" si="1"/>
        <v>0</v>
      </c>
      <c r="O54" s="3">
        <f t="shared" si="4"/>
        <v>0</v>
      </c>
      <c r="P54" s="3">
        <f>COUNTIFS($G:$G,N54,$L:$L,3)+COUNTIFS($J:$J,N54,$M:$M,3)</f>
        <v>0</v>
      </c>
      <c r="Q54" s="3">
        <f>COUNTIFS($G:$G,N54,$L:$L,1)+COUNTIFS($J:$J,N54,$M:$M,1)</f>
        <v>0</v>
      </c>
      <c r="R54" s="3">
        <f>COUNTIFS($G:$G,N54,$L:$L,0,$H:$H,"&lt;&gt;")+COUNTIFS($J:$J,N54,$M:$M,0,$I:$I,"&lt;&gt;")</f>
        <v>0</v>
      </c>
      <c r="S54" s="3">
        <f>SUMIF($G:$G,N54,$H:$H)+SUMIF($J:$J,N54,$I:$I)</f>
        <v>0</v>
      </c>
      <c r="T54" s="3">
        <f>SUMIF($G:$G,N54,$I:$I)+SUMIF($J:$J,N54,$H:$H)</f>
        <v>0</v>
      </c>
      <c r="U54" s="3">
        <f t="shared" si="5"/>
        <v>0</v>
      </c>
      <c r="V54" s="3">
        <f>SUMIF($G:$G,N54,$L:$L)+SUMIF($J:$J,N54,$M:$M)</f>
        <v>0</v>
      </c>
    </row>
    <row r="55" spans="4:42" ht="21" customHeight="1" thickBot="1" x14ac:dyDescent="0.35">
      <c r="D55" s="11">
        <v>42</v>
      </c>
      <c r="E55" s="12">
        <v>46195</v>
      </c>
      <c r="F55" s="28" t="s">
        <v>47</v>
      </c>
      <c r="G55" s="13" t="s">
        <v>51</v>
      </c>
      <c r="H55" s="28"/>
      <c r="I55" s="28"/>
      <c r="J55" s="14" t="s">
        <v>49</v>
      </c>
      <c r="L55">
        <f t="shared" si="0"/>
        <v>0</v>
      </c>
      <c r="M55">
        <f t="shared" si="1"/>
        <v>0</v>
      </c>
      <c r="N55" s="49" t="s">
        <v>82</v>
      </c>
      <c r="O55" s="49"/>
      <c r="P55" s="49"/>
      <c r="Q55" s="49"/>
      <c r="R55" s="49"/>
      <c r="S55" s="49"/>
      <c r="T55" s="49"/>
      <c r="U55" s="49"/>
      <c r="V55" s="49"/>
    </row>
    <row r="56" spans="4:42" ht="21" customHeight="1" thickBot="1" x14ac:dyDescent="0.35">
      <c r="D56" s="11">
        <v>43</v>
      </c>
      <c r="E56" s="12">
        <v>46195</v>
      </c>
      <c r="F56" s="28" t="s">
        <v>52</v>
      </c>
      <c r="G56" s="13" t="s">
        <v>53</v>
      </c>
      <c r="H56" s="28"/>
      <c r="I56" s="28"/>
      <c r="J56" s="14" t="s">
        <v>55</v>
      </c>
      <c r="L56">
        <f t="shared" si="0"/>
        <v>0</v>
      </c>
      <c r="M56">
        <f t="shared" si="1"/>
        <v>0</v>
      </c>
      <c r="N56" s="3" t="s">
        <v>70</v>
      </c>
      <c r="O56" s="3" t="s">
        <v>71</v>
      </c>
      <c r="P56" s="3" t="s">
        <v>37</v>
      </c>
      <c r="Q56" s="3" t="s">
        <v>27</v>
      </c>
      <c r="R56" s="3" t="s">
        <v>72</v>
      </c>
      <c r="S56" s="3" t="s">
        <v>73</v>
      </c>
      <c r="T56" s="3" t="s">
        <v>74</v>
      </c>
      <c r="U56" s="3" t="s">
        <v>75</v>
      </c>
      <c r="V56" s="3" t="s">
        <v>76</v>
      </c>
    </row>
    <row r="57" spans="4:42" ht="15" thickBot="1" x14ac:dyDescent="0.35">
      <c r="D57" s="11">
        <v>44</v>
      </c>
      <c r="E57" s="12">
        <v>46195</v>
      </c>
      <c r="F57" s="28" t="s">
        <v>52</v>
      </c>
      <c r="G57" s="13" t="s">
        <v>56</v>
      </c>
      <c r="H57" s="28"/>
      <c r="I57" s="28"/>
      <c r="J57" s="14" t="s">
        <v>54</v>
      </c>
      <c r="L57">
        <f t="shared" si="0"/>
        <v>0</v>
      </c>
      <c r="M57">
        <f t="shared" si="1"/>
        <v>0</v>
      </c>
      <c r="N57" t="s">
        <v>38</v>
      </c>
      <c r="O57" s="3">
        <f t="shared" si="4"/>
        <v>0</v>
      </c>
      <c r="P57" s="3">
        <f>COUNTIFS($G:$G,N57,$L:$L,3)+COUNTIFS($J:$J,N57,$M:$M,3)</f>
        <v>0</v>
      </c>
      <c r="Q57" s="3">
        <f>COUNTIFS($G:$G,N57,$L:$L,1)+COUNTIFS($J:$J,N57,$M:$M,1)</f>
        <v>0</v>
      </c>
      <c r="R57" s="3">
        <f>COUNTIFS($G:$G,N57,$L:$L,0,$H:$H,"&lt;&gt;")+COUNTIFS($J:$J,N57,$M:$M,0,$I:$I,"&lt;&gt;")</f>
        <v>0</v>
      </c>
      <c r="S57" s="3">
        <f>SUMIF($G:$G,N57,$H:$H)+SUMIF($J:$J,N57,$I:$I)</f>
        <v>0</v>
      </c>
      <c r="T57" s="3">
        <f>SUMIF($G:$G,N57,$I:$I)+SUMIF($J:$J,N57,$H:$H)</f>
        <v>0</v>
      </c>
      <c r="U57" s="3">
        <f t="shared" si="5"/>
        <v>0</v>
      </c>
      <c r="V57" s="3">
        <f>SUMIF($G:$G,N57,$L:$L)+SUMIF($J:$J,N57,$M:$M)</f>
        <v>0</v>
      </c>
    </row>
    <row r="58" spans="4:42" ht="15" thickBot="1" x14ac:dyDescent="0.35">
      <c r="D58" s="11">
        <v>45</v>
      </c>
      <c r="E58" s="12">
        <v>46196</v>
      </c>
      <c r="F58" s="28" t="s">
        <v>57</v>
      </c>
      <c r="G58" s="13" t="s">
        <v>58</v>
      </c>
      <c r="H58" s="28"/>
      <c r="I58" s="28"/>
      <c r="J58" s="14" t="s">
        <v>60</v>
      </c>
      <c r="L58">
        <f t="shared" si="0"/>
        <v>0</v>
      </c>
      <c r="M58">
        <f t="shared" si="1"/>
        <v>0</v>
      </c>
      <c r="N58" t="s">
        <v>39</v>
      </c>
      <c r="O58" s="3">
        <f t="shared" si="4"/>
        <v>0</v>
      </c>
      <c r="P58" s="3">
        <f>COUNTIFS($G:$G,N58,$L:$L,3)+COUNTIFS($J:$J,N58,$M:$M,3)</f>
        <v>0</v>
      </c>
      <c r="Q58" s="3">
        <f>COUNTIFS($G:$G,N58,$L:$L,1)+COUNTIFS($J:$J,N58,$M:$M,1)</f>
        <v>0</v>
      </c>
      <c r="R58" s="3">
        <f>COUNTIFS($G:$G,N58,$L:$L,0,$H:$H,"&lt;&gt;")+COUNTIFS($J:$J,N58,$M:$M,0,$I:$I,"&lt;&gt;")</f>
        <v>0</v>
      </c>
      <c r="S58" s="3">
        <f>SUMIF($G:$G,N58,$H:$H)+SUMIF($J:$J,N58,$I:$I)</f>
        <v>0</v>
      </c>
      <c r="T58" s="3">
        <f>SUMIF($G:$G,N58,$I:$I)+SUMIF($J:$J,N58,$H:$H)</f>
        <v>0</v>
      </c>
      <c r="U58" s="3">
        <f t="shared" si="5"/>
        <v>0</v>
      </c>
      <c r="V58" s="3">
        <f>SUMIF($G:$G,N58,$L:$L)+SUMIF($J:$J,N58,$M:$M)</f>
        <v>0</v>
      </c>
    </row>
    <row r="59" spans="4:42" ht="15" thickBot="1" x14ac:dyDescent="0.35">
      <c r="D59" s="11">
        <v>46</v>
      </c>
      <c r="E59" s="12">
        <v>46196</v>
      </c>
      <c r="F59" s="28" t="s">
        <v>57</v>
      </c>
      <c r="G59" s="13" t="s">
        <v>61</v>
      </c>
      <c r="H59" s="28"/>
      <c r="I59" s="28"/>
      <c r="J59" s="14" t="s">
        <v>59</v>
      </c>
      <c r="L59">
        <f t="shared" si="0"/>
        <v>0</v>
      </c>
      <c r="M59">
        <f t="shared" si="1"/>
        <v>0</v>
      </c>
      <c r="N59" t="s">
        <v>40</v>
      </c>
      <c r="O59" s="3">
        <f t="shared" si="4"/>
        <v>0</v>
      </c>
      <c r="P59" s="3">
        <f>COUNTIFS($G:$G,N59,$L:$L,3)+COUNTIFS($J:$J,N59,$M:$M,3)</f>
        <v>0</v>
      </c>
      <c r="Q59" s="3">
        <f>COUNTIFS($G:$G,N59,$L:$L,1)+COUNTIFS($J:$J,N59,$M:$M,1)</f>
        <v>0</v>
      </c>
      <c r="R59" s="3">
        <f>COUNTIFS($G:$G,N59,$L:$L,0,$H:$H,"&lt;&gt;")+COUNTIFS($J:$J,N59,$M:$M,0,$I:$I,"&lt;&gt;")</f>
        <v>0</v>
      </c>
      <c r="S59" s="3">
        <f>SUMIF($G:$G,N59,$H:$H)+SUMIF($J:$J,N59,$I:$I)</f>
        <v>0</v>
      </c>
      <c r="T59" s="3">
        <f>SUMIF($G:$G,N59,$I:$I)+SUMIF($J:$J,N59,$H:$H)</f>
        <v>0</v>
      </c>
      <c r="U59" s="3">
        <f t="shared" si="5"/>
        <v>0</v>
      </c>
      <c r="V59" s="3">
        <f>SUMIF($G:$G,N59,$L:$L)+SUMIF($J:$J,N59,$M:$M)</f>
        <v>0</v>
      </c>
    </row>
    <row r="60" spans="4:42" ht="15" thickBot="1" x14ac:dyDescent="0.35">
      <c r="D60" s="11">
        <v>47</v>
      </c>
      <c r="E60" s="12">
        <v>46196</v>
      </c>
      <c r="F60" s="28" t="s">
        <v>62</v>
      </c>
      <c r="G60" s="13" t="s">
        <v>63</v>
      </c>
      <c r="H60" s="28"/>
      <c r="I60" s="28"/>
      <c r="J60" s="14" t="s">
        <v>64</v>
      </c>
      <c r="L60">
        <f t="shared" si="0"/>
        <v>0</v>
      </c>
      <c r="M60">
        <f t="shared" si="1"/>
        <v>0</v>
      </c>
      <c r="N60" t="s">
        <v>41</v>
      </c>
      <c r="O60" s="3">
        <f t="shared" si="4"/>
        <v>0</v>
      </c>
      <c r="P60" s="3">
        <f>COUNTIFS($G:$G,N60,$L:$L,3)+COUNTIFS($J:$J,N60,$M:$M,3)</f>
        <v>0</v>
      </c>
      <c r="Q60" s="3">
        <f>COUNTIFS($G:$G,N60,$L:$L,1)+COUNTIFS($J:$J,N60,$M:$M,1)</f>
        <v>0</v>
      </c>
      <c r="R60" s="3">
        <f>COUNTIFS($G:$G,N60,$L:$L,0,$H:$H,"&lt;&gt;")+COUNTIFS($J:$J,N60,$M:$M,0,$I:$I,"&lt;&gt;")</f>
        <v>0</v>
      </c>
      <c r="S60" s="3">
        <f>SUMIF($G:$G,N60,$H:$H)+SUMIF($J:$J,N60,$I:$I)</f>
        <v>0</v>
      </c>
      <c r="T60" s="3">
        <f>SUMIF($G:$G,N60,$I:$I)+SUMIF($J:$J,N60,$H:$H)</f>
        <v>0</v>
      </c>
      <c r="U60" s="3">
        <f t="shared" si="5"/>
        <v>0</v>
      </c>
      <c r="V60" s="3">
        <f>SUMIF($G:$G,N60,$L:$L)+SUMIF($J:$J,N60,$M:$M)</f>
        <v>0</v>
      </c>
    </row>
    <row r="61" spans="4:42" ht="15" thickBot="1" x14ac:dyDescent="0.35">
      <c r="D61" s="11">
        <v>48</v>
      </c>
      <c r="E61" s="12">
        <v>46196</v>
      </c>
      <c r="F61" s="28" t="s">
        <v>62</v>
      </c>
      <c r="G61" s="13" t="s">
        <v>66</v>
      </c>
      <c r="H61" s="28"/>
      <c r="I61" s="28"/>
      <c r="J61" s="14" t="s">
        <v>65</v>
      </c>
      <c r="L61">
        <f t="shared" si="0"/>
        <v>0</v>
      </c>
      <c r="M61">
        <f t="shared" si="1"/>
        <v>0</v>
      </c>
      <c r="O61" s="3">
        <f t="shared" si="4"/>
        <v>0</v>
      </c>
      <c r="P61" s="3">
        <f>COUNTIFS($G:$G,N61,$L:$L,3)+COUNTIFS($J:$J,N61,$M:$M,3)</f>
        <v>0</v>
      </c>
      <c r="Q61" s="3">
        <f>COUNTIFS($G:$G,N61,$L:$L,1)+COUNTIFS($J:$J,N61,$M:$M,1)</f>
        <v>0</v>
      </c>
      <c r="R61" s="3">
        <f>COUNTIFS($G:$G,N61,$L:$L,0,$H:$H,"&lt;&gt;")+COUNTIFS($J:$J,N61,$M:$M,0,$I:$I,"&lt;&gt;")</f>
        <v>0</v>
      </c>
      <c r="S61" s="3">
        <f>SUMIF($G:$G,N61,$H:$H)+SUMIF($J:$J,N61,$I:$I)</f>
        <v>0</v>
      </c>
      <c r="T61" s="3">
        <f>SUMIF($G:$G,N61,$I:$I)+SUMIF($J:$J,N61,$H:$H)</f>
        <v>0</v>
      </c>
      <c r="U61" s="3">
        <f t="shared" si="5"/>
        <v>0</v>
      </c>
      <c r="V61" s="3">
        <f>SUMIF($G:$G,N61,$L:$L)+SUMIF($J:$J,N61,$M:$M)</f>
        <v>0</v>
      </c>
    </row>
    <row r="62" spans="4:42" ht="15" thickBot="1" x14ac:dyDescent="0.35">
      <c r="D62" s="11">
        <v>49</v>
      </c>
      <c r="E62" s="12">
        <v>46197</v>
      </c>
      <c r="F62" s="28" t="s">
        <v>7</v>
      </c>
      <c r="G62" s="13" t="s">
        <v>11</v>
      </c>
      <c r="H62" s="28"/>
      <c r="I62" s="28"/>
      <c r="J62" s="14" t="s">
        <v>8</v>
      </c>
      <c r="L62">
        <f t="shared" si="0"/>
        <v>0</v>
      </c>
      <c r="M62">
        <f t="shared" si="1"/>
        <v>0</v>
      </c>
      <c r="N62" s="49" t="s">
        <v>83</v>
      </c>
      <c r="O62" s="49"/>
      <c r="P62" s="49"/>
      <c r="Q62" s="49"/>
      <c r="R62" s="49"/>
      <c r="S62" s="49"/>
      <c r="T62" s="49"/>
      <c r="U62" s="49"/>
      <c r="V62" s="49"/>
    </row>
    <row r="63" spans="4:42" ht="15" thickBot="1" x14ac:dyDescent="0.35">
      <c r="D63" s="11">
        <v>50</v>
      </c>
      <c r="E63" s="12">
        <v>46197</v>
      </c>
      <c r="F63" s="28" t="s">
        <v>7</v>
      </c>
      <c r="G63" s="13" t="s">
        <v>9</v>
      </c>
      <c r="H63" s="28"/>
      <c r="I63" s="28"/>
      <c r="J63" s="14" t="s">
        <v>10</v>
      </c>
      <c r="L63">
        <f t="shared" si="0"/>
        <v>0</v>
      </c>
      <c r="M63">
        <f t="shared" si="1"/>
        <v>0</v>
      </c>
      <c r="N63" s="3" t="s">
        <v>70</v>
      </c>
      <c r="O63" s="3" t="s">
        <v>71</v>
      </c>
      <c r="P63" s="3" t="s">
        <v>37</v>
      </c>
      <c r="Q63" s="3" t="s">
        <v>27</v>
      </c>
      <c r="R63" s="3" t="s">
        <v>72</v>
      </c>
      <c r="S63" s="3" t="s">
        <v>73</v>
      </c>
      <c r="T63" s="3" t="s">
        <v>74</v>
      </c>
      <c r="U63" s="3" t="s">
        <v>75</v>
      </c>
      <c r="V63" s="3" t="s">
        <v>76</v>
      </c>
      <c r="X63">
        <f>15*10/20</f>
        <v>7.5</v>
      </c>
    </row>
    <row r="64" spans="4:42" ht="15" thickBot="1" x14ac:dyDescent="0.35">
      <c r="D64" s="11">
        <v>51</v>
      </c>
      <c r="E64" s="12">
        <v>46197</v>
      </c>
      <c r="F64" s="28" t="s">
        <v>12</v>
      </c>
      <c r="G64" s="13" t="s">
        <v>19</v>
      </c>
      <c r="H64" s="28"/>
      <c r="I64" s="28"/>
      <c r="J64" s="14" t="s">
        <v>13</v>
      </c>
      <c r="L64">
        <f t="shared" si="0"/>
        <v>0</v>
      </c>
      <c r="M64">
        <f t="shared" si="1"/>
        <v>0</v>
      </c>
      <c r="N64" t="s">
        <v>43</v>
      </c>
      <c r="O64" s="3">
        <f t="shared" si="4"/>
        <v>0</v>
      </c>
      <c r="P64" s="3">
        <f>COUNTIFS($G:$G,N64,$L:$L,3)+COUNTIFS($J:$J,N64,$M:$M,3)</f>
        <v>0</v>
      </c>
      <c r="Q64" s="3">
        <f>COUNTIFS($G:$G,N64,$L:$L,1)+COUNTIFS($J:$J,N64,$M:$M,1)</f>
        <v>0</v>
      </c>
      <c r="R64" s="3">
        <f>COUNTIFS($G:$G,N64,$L:$L,0,$H:$H,"&lt;&gt;")+COUNTIFS($J:$J,N64,$M:$M,0,$I:$I,"&lt;&gt;")</f>
        <v>0</v>
      </c>
      <c r="S64" s="3">
        <f>SUMIF($G:$G,N64,$H:$H)+SUMIF($J:$J,N64,$I:$I)</f>
        <v>0</v>
      </c>
      <c r="T64" s="3">
        <f>SUMIF($G:$G,N64,$I:$I)+SUMIF($J:$J,N64,$H:$H)</f>
        <v>0</v>
      </c>
      <c r="U64" s="3">
        <f>S64-T64</f>
        <v>0</v>
      </c>
      <c r="V64" s="3">
        <f>SUMIF($G:$G,N64,$L:$L)+SUMIF($J:$J,N64,$M:$M)</f>
        <v>0</v>
      </c>
    </row>
    <row r="65" spans="4:22" ht="15" thickBot="1" x14ac:dyDescent="0.35">
      <c r="D65" s="11">
        <v>52</v>
      </c>
      <c r="E65" s="12">
        <v>46197</v>
      </c>
      <c r="F65" s="28" t="s">
        <v>12</v>
      </c>
      <c r="G65" s="13" t="s">
        <v>14</v>
      </c>
      <c r="H65" s="28"/>
      <c r="I65" s="28"/>
      <c r="J65" s="14" t="s">
        <v>18</v>
      </c>
      <c r="L65">
        <f t="shared" si="0"/>
        <v>0</v>
      </c>
      <c r="M65">
        <f t="shared" si="1"/>
        <v>0</v>
      </c>
      <c r="N65" t="s">
        <v>44</v>
      </c>
      <c r="O65" s="3">
        <f>P65+Q65+R65</f>
        <v>0</v>
      </c>
      <c r="P65" s="3">
        <f>COUNTIFS($G:$G,N65,$L:$L,3)+COUNTIFS($J:$J,N65,$M:$M,3)</f>
        <v>0</v>
      </c>
      <c r="Q65" s="3">
        <f>COUNTIFS($G:$G,N65,$L:$L,1)+COUNTIFS($J:$J,N65,$M:$M,1)</f>
        <v>0</v>
      </c>
      <c r="R65" s="3">
        <f>COUNTIFS($G:$G,N65,$L:$L,0,$H:$H,"&lt;&gt;")+COUNTIFS($J:$J,N65,$M:$M,0,$I:$I,"&lt;&gt;")</f>
        <v>0</v>
      </c>
      <c r="S65" s="3">
        <f t="shared" ref="S65:S67" si="6">SUMIF($G:$G,N65,$H:$H)+SUMIF($J:$J,N65,$I:$I)</f>
        <v>0</v>
      </c>
      <c r="T65" s="3">
        <f t="shared" ref="T65:T67" si="7">SUMIF($G:$G,N65,$I:$I)+SUMIF($J:$J,N65,$H:$H)</f>
        <v>0</v>
      </c>
      <c r="U65" s="3">
        <f t="shared" ref="U65:U67" si="8">S65-T65</f>
        <v>0</v>
      </c>
      <c r="V65" s="3">
        <f t="shared" ref="V65:V67" si="9">SUMIF($G:$G,N65,$L:$L)+SUMIF($J:$J,N65,$M:$M)</f>
        <v>0</v>
      </c>
    </row>
    <row r="66" spans="4:22" ht="15" thickBot="1" x14ac:dyDescent="0.35">
      <c r="D66" s="11">
        <v>53</v>
      </c>
      <c r="E66" s="12">
        <v>46197</v>
      </c>
      <c r="F66" s="28" t="s">
        <v>20</v>
      </c>
      <c r="G66" s="13" t="s">
        <v>24</v>
      </c>
      <c r="H66" s="28"/>
      <c r="I66" s="28"/>
      <c r="J66" s="14" t="s">
        <v>21</v>
      </c>
      <c r="L66">
        <f t="shared" si="0"/>
        <v>0</v>
      </c>
      <c r="M66">
        <f t="shared" si="1"/>
        <v>0</v>
      </c>
      <c r="N66" t="s">
        <v>46</v>
      </c>
      <c r="O66" s="3">
        <f t="shared" ref="O66:O67" si="10">P66+Q66+R66</f>
        <v>0</v>
      </c>
      <c r="P66" s="3">
        <f t="shared" ref="P66:P67" si="11">COUNTIFS($G:$G,N66,$L:$L,3)+COUNTIFS($J:$J,N66,$M:$M,3)</f>
        <v>0</v>
      </c>
      <c r="Q66" s="3">
        <f t="shared" ref="Q66" si="12">COUNTIFS($G:$G,N66,$L:$L,1)+COUNTIFS($J:$J,N66,$M:$M,1)</f>
        <v>0</v>
      </c>
      <c r="R66" s="3">
        <f t="shared" ref="R66:R67" si="13">COUNTIFS($G:$G,N66,$L:$L,0,$H:$H,"&lt;&gt;")+COUNTIFS($J:$J,N66,$M:$M,0,$I:$I,"&lt;&gt;")</f>
        <v>0</v>
      </c>
      <c r="S66" s="3">
        <f t="shared" si="6"/>
        <v>0</v>
      </c>
      <c r="T66" s="3">
        <f t="shared" si="7"/>
        <v>0</v>
      </c>
      <c r="U66" s="3">
        <f t="shared" si="8"/>
        <v>0</v>
      </c>
      <c r="V66" s="3">
        <f t="shared" si="9"/>
        <v>0</v>
      </c>
    </row>
    <row r="67" spans="4:22" ht="15" thickBot="1" x14ac:dyDescent="0.35">
      <c r="D67" s="11">
        <v>54</v>
      </c>
      <c r="E67" s="12">
        <v>46197</v>
      </c>
      <c r="F67" s="28" t="s">
        <v>20</v>
      </c>
      <c r="G67" s="13" t="s">
        <v>22</v>
      </c>
      <c r="H67" s="28"/>
      <c r="I67" s="28"/>
      <c r="J67" s="14" t="s">
        <v>23</v>
      </c>
      <c r="L67">
        <f t="shared" si="0"/>
        <v>0</v>
      </c>
      <c r="M67">
        <f t="shared" si="1"/>
        <v>0</v>
      </c>
      <c r="N67" t="s">
        <v>45</v>
      </c>
      <c r="O67" s="3">
        <f t="shared" si="10"/>
        <v>0</v>
      </c>
      <c r="P67" s="3">
        <f t="shared" si="11"/>
        <v>0</v>
      </c>
      <c r="Q67" s="3">
        <f>COUNTIFS($G:$G,N67,$L:$L,1)+COUNTIFS($J:$J,N67,$M:$M,1)</f>
        <v>0</v>
      </c>
      <c r="R67" s="3">
        <f t="shared" si="13"/>
        <v>0</v>
      </c>
      <c r="S67" s="3">
        <f t="shared" si="6"/>
        <v>0</v>
      </c>
      <c r="T67" s="3">
        <f t="shared" si="7"/>
        <v>0</v>
      </c>
      <c r="U67" s="3">
        <f t="shared" si="8"/>
        <v>0</v>
      </c>
      <c r="V67" s="3">
        <f t="shared" si="9"/>
        <v>0</v>
      </c>
    </row>
    <row r="68" spans="4:22" ht="15" thickBot="1" x14ac:dyDescent="0.35">
      <c r="D68" s="11">
        <v>55</v>
      </c>
      <c r="E68" s="12">
        <v>46198</v>
      </c>
      <c r="F68" s="28" t="s">
        <v>15</v>
      </c>
      <c r="G68" s="13" t="s">
        <v>26</v>
      </c>
      <c r="H68" s="28"/>
      <c r="I68" s="28"/>
      <c r="J68" s="14" t="s">
        <v>16</v>
      </c>
      <c r="L68">
        <f t="shared" si="0"/>
        <v>0</v>
      </c>
      <c r="M68">
        <f t="shared" si="1"/>
        <v>0</v>
      </c>
    </row>
    <row r="69" spans="4:22" ht="15" thickBot="1" x14ac:dyDescent="0.35">
      <c r="D69" s="11">
        <v>56</v>
      </c>
      <c r="E69" s="12">
        <v>46198</v>
      </c>
      <c r="F69" s="28" t="s">
        <v>15</v>
      </c>
      <c r="G69" s="13" t="s">
        <v>17</v>
      </c>
      <c r="H69" s="28"/>
      <c r="I69" s="28"/>
      <c r="J69" s="14" t="s">
        <v>25</v>
      </c>
      <c r="L69">
        <f t="shared" si="0"/>
        <v>0</v>
      </c>
      <c r="M69">
        <f t="shared" si="1"/>
        <v>0</v>
      </c>
      <c r="N69" s="49" t="s">
        <v>84</v>
      </c>
      <c r="O69" s="49"/>
      <c r="P69" s="49"/>
      <c r="Q69" s="49"/>
      <c r="R69" s="49"/>
      <c r="S69" s="49"/>
      <c r="T69" s="49"/>
      <c r="U69" s="49"/>
      <c r="V69" s="49"/>
    </row>
    <row r="70" spans="4:22" ht="15" thickBot="1" x14ac:dyDescent="0.35">
      <c r="D70" s="11">
        <v>57</v>
      </c>
      <c r="E70" s="12">
        <v>46198</v>
      </c>
      <c r="F70" s="28" t="s">
        <v>27</v>
      </c>
      <c r="G70" s="13" t="s">
        <v>31</v>
      </c>
      <c r="H70" s="28"/>
      <c r="I70" s="28"/>
      <c r="J70" s="14" t="s">
        <v>28</v>
      </c>
      <c r="L70">
        <f t="shared" si="0"/>
        <v>0</v>
      </c>
      <c r="M70">
        <f t="shared" si="1"/>
        <v>0</v>
      </c>
      <c r="N70" s="3" t="s">
        <v>70</v>
      </c>
      <c r="O70" s="3" t="s">
        <v>71</v>
      </c>
      <c r="P70" s="3" t="s">
        <v>37</v>
      </c>
      <c r="Q70" s="3" t="s">
        <v>27</v>
      </c>
      <c r="R70" s="3" t="s">
        <v>72</v>
      </c>
      <c r="S70" s="3" t="s">
        <v>73</v>
      </c>
      <c r="T70" s="3" t="s">
        <v>74</v>
      </c>
      <c r="U70" s="3" t="s">
        <v>75</v>
      </c>
      <c r="V70" s="3" t="s">
        <v>76</v>
      </c>
    </row>
    <row r="71" spans="4:22" ht="15" thickBot="1" x14ac:dyDescent="0.35">
      <c r="D71" s="11">
        <v>58</v>
      </c>
      <c r="E71" s="12">
        <v>46198</v>
      </c>
      <c r="F71" s="28" t="s">
        <v>27</v>
      </c>
      <c r="G71" s="13" t="s">
        <v>29</v>
      </c>
      <c r="H71" s="28"/>
      <c r="I71" s="28"/>
      <c r="J71" s="14" t="s">
        <v>30</v>
      </c>
      <c r="L71">
        <f t="shared" si="0"/>
        <v>0</v>
      </c>
      <c r="M71">
        <f t="shared" si="1"/>
        <v>0</v>
      </c>
      <c r="N71" t="s">
        <v>48</v>
      </c>
      <c r="O71" s="3">
        <f>P71+Q71+R71</f>
        <v>0</v>
      </c>
      <c r="P71" s="3">
        <f>COUNTIFS($G:$G,N71,$L:$L,3)+COUNTIFS($J:$J,N71,$M:$M,3)</f>
        <v>0</v>
      </c>
      <c r="Q71" s="3">
        <f>COUNTIFS($G:$G,N71,$L:$L,1)+COUNTIFS($J:$J,N71,$M:$M,1)</f>
        <v>0</v>
      </c>
      <c r="R71" s="3">
        <f>COUNTIFS($G:$G,N71,$L:$L,0,$H:$H,"&lt;&gt;")+COUNTIFS($J:$J,N71,$M:$M,0,$I:$I,"&lt;&gt;")</f>
        <v>0</v>
      </c>
      <c r="S71" s="3">
        <f>SUMIF($G:$G,N71,$H:$H)+SUMIF($J:$J,N71,$I:$I)</f>
        <v>0</v>
      </c>
      <c r="T71" s="3">
        <f>SUMIF($G:$G,N71,$I:$I)+SUMIF($J:$J,N71,$H:$H)</f>
        <v>0</v>
      </c>
      <c r="U71" s="3">
        <f>S71-T71</f>
        <v>0</v>
      </c>
      <c r="V71" s="3">
        <f>SUMIF($G:$G,N71,$L:$L)+SUMIF($J:$J,N71,$M:$M)</f>
        <v>0</v>
      </c>
    </row>
    <row r="72" spans="4:22" ht="15" thickBot="1" x14ac:dyDescent="0.35">
      <c r="D72" s="11">
        <v>59</v>
      </c>
      <c r="E72" s="12">
        <v>46198</v>
      </c>
      <c r="F72" s="28" t="s">
        <v>32</v>
      </c>
      <c r="G72" s="13" t="s">
        <v>36</v>
      </c>
      <c r="H72" s="28"/>
      <c r="I72" s="28"/>
      <c r="J72" s="14" t="s">
        <v>33</v>
      </c>
      <c r="L72">
        <f t="shared" si="0"/>
        <v>0</v>
      </c>
      <c r="M72">
        <f t="shared" si="1"/>
        <v>0</v>
      </c>
      <c r="N72" t="s">
        <v>49</v>
      </c>
      <c r="O72" s="3">
        <f>P72+Q72+R72</f>
        <v>0</v>
      </c>
      <c r="P72" s="3">
        <f>COUNTIFS($G:$G,N72,$L:$L,3)+COUNTIFS($J:$J,N72,$M:$M,3)</f>
        <v>0</v>
      </c>
      <c r="Q72" s="3">
        <f>COUNTIFS($G:$G,N72,$L:$L,1)+COUNTIFS($J:$J,N72,$M:$M,1)</f>
        <v>0</v>
      </c>
      <c r="R72" s="3">
        <f>COUNTIFS($G:$G,N72,$L:$L,0,$H:$H,"&lt;&gt;")+COUNTIFS($J:$J,N72,$M:$M,0,$I:$I,"&lt;&gt;")</f>
        <v>0</v>
      </c>
      <c r="S72" s="3">
        <f>SUMIF($G:$G,N72,$H:$H)+SUMIF($J:$J,N72,$I:$I)</f>
        <v>0</v>
      </c>
      <c r="T72" s="3">
        <f>SUMIF($G:$G,N72,$I:$I)+SUMIF($J:$J,N72,$H:$H)</f>
        <v>0</v>
      </c>
      <c r="U72" s="3">
        <f>S72-T72</f>
        <v>0</v>
      </c>
      <c r="V72" s="3">
        <f>SUMIF($G:$G,N72,$L:$L)+SUMIF($J:$J,N72,$M:$M)</f>
        <v>0</v>
      </c>
    </row>
    <row r="73" spans="4:22" ht="15" thickBot="1" x14ac:dyDescent="0.35">
      <c r="D73" s="11">
        <v>60</v>
      </c>
      <c r="E73" s="12">
        <v>46198</v>
      </c>
      <c r="F73" s="28" t="s">
        <v>32</v>
      </c>
      <c r="G73" s="13" t="s">
        <v>34</v>
      </c>
      <c r="H73" s="28"/>
      <c r="I73" s="28"/>
      <c r="J73" s="14" t="s">
        <v>35</v>
      </c>
      <c r="L73">
        <f t="shared" si="0"/>
        <v>0</v>
      </c>
      <c r="M73">
        <f t="shared" si="1"/>
        <v>0</v>
      </c>
      <c r="N73" t="s">
        <v>50</v>
      </c>
      <c r="O73" s="3">
        <f>P73+Q73+R73</f>
        <v>0</v>
      </c>
      <c r="P73" s="3">
        <f>COUNTIFS($G:$G,N73,$L:$L,3)+COUNTIFS($J:$J,N73,$M:$M,3)</f>
        <v>0</v>
      </c>
      <c r="Q73" s="3">
        <f>COUNTIFS($G:$G,N73,$L:$L,1)+COUNTIFS($J:$J,N73,$M:$M,1)</f>
        <v>0</v>
      </c>
      <c r="R73" s="3">
        <f>COUNTIFS($G:$G,N73,$L:$L,0,$H:$H,"&lt;&gt;")+COUNTIFS($J:$J,N73,$M:$M,0,$I:$I,"&lt;&gt;")</f>
        <v>0</v>
      </c>
      <c r="S73" s="3">
        <f>SUMIF($G:$G,N73,$H:$H)+SUMIF($J:$J,N73,$I:$I)</f>
        <v>0</v>
      </c>
      <c r="T73" s="3">
        <f>SUMIF($G:$G,N73,$I:$I)+SUMIF($J:$J,N73,$H:$H)</f>
        <v>0</v>
      </c>
      <c r="U73" s="3">
        <f>S73-T73</f>
        <v>0</v>
      </c>
      <c r="V73" s="3">
        <f>SUMIF($G:$G,N73,$L:$L)+SUMIF($J:$J,N73,$M:$M)</f>
        <v>0</v>
      </c>
    </row>
    <row r="74" spans="4:22" ht="15" thickBot="1" x14ac:dyDescent="0.35">
      <c r="D74" s="11">
        <v>61</v>
      </c>
      <c r="E74" s="12">
        <v>46199</v>
      </c>
      <c r="F74" s="28" t="s">
        <v>37</v>
      </c>
      <c r="G74" s="13" t="s">
        <v>41</v>
      </c>
      <c r="H74" s="28"/>
      <c r="I74" s="28"/>
      <c r="J74" s="14" t="s">
        <v>38</v>
      </c>
      <c r="L74">
        <f t="shared" si="0"/>
        <v>0</v>
      </c>
      <c r="M74">
        <f t="shared" si="1"/>
        <v>0</v>
      </c>
      <c r="N74" t="s">
        <v>51</v>
      </c>
      <c r="O74" s="3">
        <f>P74+Q74+R74</f>
        <v>0</v>
      </c>
      <c r="P74" s="3">
        <f>COUNTIFS($G:$G,N74,$L:$L,3)+COUNTIFS($J:$J,N74,$M:$M,3)</f>
        <v>0</v>
      </c>
      <c r="Q74" s="3">
        <f>COUNTIFS($G:$G,N74,$L:$L,1)+COUNTIFS($J:$J,N74,$M:$M,1)</f>
        <v>0</v>
      </c>
      <c r="R74" s="3">
        <f>COUNTIFS($G:$G,N74,$L:$L,0,$H:$H,"&lt;&gt;")+COUNTIFS($J:$J,N74,$M:$M,0,$I:$I,"&lt;&gt;")</f>
        <v>0</v>
      </c>
      <c r="S74" s="3">
        <f>SUMIF($G:$G,N74,$H:$H)+SUMIF($J:$J,N74,$I:$I)</f>
        <v>0</v>
      </c>
      <c r="T74" s="3">
        <f>SUMIF($G:$G,N74,$I:$I)+SUMIF($J:$J,N74,$H:$H)</f>
        <v>0</v>
      </c>
      <c r="U74" s="3">
        <f>S74-T74</f>
        <v>0</v>
      </c>
      <c r="V74" s="3">
        <f>SUMIF($G:$G,N74,$L:$L)+SUMIF($J:$J,N74,$M:$M)</f>
        <v>0</v>
      </c>
    </row>
    <row r="75" spans="4:22" ht="15" thickBot="1" x14ac:dyDescent="0.35">
      <c r="D75" s="11">
        <v>62</v>
      </c>
      <c r="E75" s="12">
        <v>46199</v>
      </c>
      <c r="F75" s="28" t="s">
        <v>37</v>
      </c>
      <c r="G75" s="13" t="s">
        <v>39</v>
      </c>
      <c r="H75" s="28"/>
      <c r="I75" s="28"/>
      <c r="J75" s="14" t="s">
        <v>40</v>
      </c>
      <c r="L75">
        <f t="shared" si="0"/>
        <v>0</v>
      </c>
      <c r="M75">
        <f t="shared" si="1"/>
        <v>0</v>
      </c>
      <c r="O75" s="3">
        <f>P75+Q75+R75</f>
        <v>0</v>
      </c>
      <c r="P75" s="3">
        <f>COUNTIFS($G:$G,N75,$L:$L,3)+COUNTIFS($J:$J,N75,$M:$M,3)</f>
        <v>0</v>
      </c>
      <c r="Q75" s="3">
        <f>COUNTIFS($G:$G,N75,$L:$L,1)+COUNTIFS($J:$J,N75,$M:$M,1)</f>
        <v>0</v>
      </c>
      <c r="R75" s="3">
        <f>COUNTIFS($G:$G,N75,$L:$L,0,$H:$H,"&lt;&gt;")+COUNTIFS($J:$J,N75,$M:$M,0,$I:$I,"&lt;&gt;")</f>
        <v>0</v>
      </c>
      <c r="S75" s="3">
        <f>SUMIF($G:$G,N75,$H:$H)+SUMIF($J:$J,N75,$I:$I)</f>
        <v>0</v>
      </c>
      <c r="T75" s="3">
        <f>SUMIF($G:$G,N75,$I:$I)+SUMIF($J:$J,N75,$H:$H)</f>
        <v>0</v>
      </c>
      <c r="U75" s="3">
        <f>S75-T75</f>
        <v>0</v>
      </c>
      <c r="V75" s="3">
        <f>SUMIF($G:$G,N75,$L:$L)+SUMIF($J:$J,N75,$M:$M)</f>
        <v>0</v>
      </c>
    </row>
    <row r="76" spans="4:22" ht="15" thickBot="1" x14ac:dyDescent="0.35">
      <c r="D76" s="11">
        <v>63</v>
      </c>
      <c r="E76" s="12">
        <v>46199</v>
      </c>
      <c r="F76" s="28" t="s">
        <v>42</v>
      </c>
      <c r="G76" s="13" t="s">
        <v>45</v>
      </c>
      <c r="H76" s="28"/>
      <c r="I76" s="28"/>
      <c r="J76" s="14" t="s">
        <v>43</v>
      </c>
      <c r="L76">
        <f t="shared" si="0"/>
        <v>0</v>
      </c>
      <c r="M76">
        <f t="shared" si="1"/>
        <v>0</v>
      </c>
      <c r="N76" s="1" t="s">
        <v>85</v>
      </c>
      <c r="O76" s="1"/>
      <c r="P76" s="1"/>
      <c r="Q76" s="1"/>
      <c r="R76" s="1"/>
      <c r="S76" s="1"/>
      <c r="T76" s="1"/>
      <c r="U76" s="1"/>
      <c r="V76" s="1"/>
    </row>
    <row r="77" spans="4:22" ht="15" thickBot="1" x14ac:dyDescent="0.35">
      <c r="D77" s="11">
        <v>64</v>
      </c>
      <c r="E77" s="12">
        <v>46199</v>
      </c>
      <c r="F77" s="28" t="s">
        <v>42</v>
      </c>
      <c r="G77" s="13" t="s">
        <v>44</v>
      </c>
      <c r="H77" s="28"/>
      <c r="I77" s="28"/>
      <c r="J77" s="14" t="s">
        <v>46</v>
      </c>
      <c r="L77">
        <f t="shared" si="0"/>
        <v>0</v>
      </c>
      <c r="M77">
        <f t="shared" si="1"/>
        <v>0</v>
      </c>
      <c r="N77" s="3" t="s">
        <v>70</v>
      </c>
      <c r="O77" s="3" t="s">
        <v>71</v>
      </c>
      <c r="P77" s="3" t="s">
        <v>37</v>
      </c>
      <c r="Q77" s="3" t="s">
        <v>27</v>
      </c>
      <c r="R77" s="3" t="s">
        <v>72</v>
      </c>
      <c r="S77" s="3" t="s">
        <v>73</v>
      </c>
      <c r="T77" s="3" t="s">
        <v>74</v>
      </c>
      <c r="U77" s="3" t="s">
        <v>75</v>
      </c>
      <c r="V77" s="3" t="s">
        <v>76</v>
      </c>
    </row>
    <row r="78" spans="4:22" ht="15" thickBot="1" x14ac:dyDescent="0.35">
      <c r="D78" s="11">
        <v>65</v>
      </c>
      <c r="E78" s="12">
        <v>46199</v>
      </c>
      <c r="F78" s="28" t="s">
        <v>47</v>
      </c>
      <c r="G78" s="13" t="s">
        <v>51</v>
      </c>
      <c r="H78" s="28"/>
      <c r="I78" s="28"/>
      <c r="J78" s="14" t="s">
        <v>48</v>
      </c>
      <c r="L78">
        <f t="shared" si="0"/>
        <v>0</v>
      </c>
      <c r="M78">
        <f t="shared" si="1"/>
        <v>0</v>
      </c>
      <c r="N78" t="s">
        <v>53</v>
      </c>
      <c r="O78" s="3">
        <f>P78+Q78+R78</f>
        <v>0</v>
      </c>
      <c r="P78" s="3">
        <f>COUNTIFS($G:$G,N78,$L:$L,3)+COUNTIFS($J:$J,N78,$M:$M,3)</f>
        <v>0</v>
      </c>
      <c r="Q78" s="3">
        <f>COUNTIFS($G:$G,N78,$L:$L,1)+COUNTIFS($J:$J,N78,$M:$M,1)</f>
        <v>0</v>
      </c>
      <c r="R78" s="3">
        <f>COUNTIFS($G:$G,N78,$L:$L,0,$H:$H,"&lt;&gt;")+COUNTIFS($J:$J,N78,$M:$M,0,$I:$I,"&lt;&gt;")</f>
        <v>0</v>
      </c>
      <c r="S78" s="3">
        <f>SUMIF($G:$G,N78,$H:$H)+SUMIF($J:$J,N78,$I:$I)</f>
        <v>0</v>
      </c>
      <c r="T78" s="3">
        <f>SUMIF($G:$G,N78,$I:$I)+SUMIF($J:$J,N78,$H:$H)</f>
        <v>0</v>
      </c>
      <c r="U78" s="3">
        <f>S78-T78</f>
        <v>0</v>
      </c>
      <c r="V78" s="3">
        <f>SUMIF($G:$G,N78,$L:$L)+SUMIF($J:$J,N78,$M:$M)</f>
        <v>0</v>
      </c>
    </row>
    <row r="79" spans="4:22" ht="15" thickBot="1" x14ac:dyDescent="0.35">
      <c r="D79" s="11">
        <v>66</v>
      </c>
      <c r="E79" s="12">
        <v>46199</v>
      </c>
      <c r="F79" s="28" t="s">
        <v>47</v>
      </c>
      <c r="G79" s="13" t="s">
        <v>49</v>
      </c>
      <c r="H79" s="28"/>
      <c r="I79" s="28"/>
      <c r="J79" s="14" t="s">
        <v>50</v>
      </c>
      <c r="L79">
        <f t="shared" ref="L79:L85" si="14">IF(OR(H79="",I79=""),0,IF(H79&gt;I79,3,IF(H79=I79,1,0)))</f>
        <v>0</v>
      </c>
      <c r="M79">
        <f t="shared" ref="M79:M85" si="15">IF(OR(H79="",I79=""),0,IF(I79&gt;H79,3,IF(H79=I79,1,0)))</f>
        <v>0</v>
      </c>
      <c r="N79" t="s">
        <v>54</v>
      </c>
      <c r="O79" s="3">
        <f>P79+Q79+R79</f>
        <v>0</v>
      </c>
      <c r="P79" s="3">
        <f>COUNTIFS($G:$G,N79,$L:$L,3)+COUNTIFS($J:$J,N79,$M:$M,3)</f>
        <v>0</v>
      </c>
      <c r="Q79" s="3">
        <f>COUNTIFS($G:$G,N79,$L:$L,1)+COUNTIFS($J:$J,N79,$M:$M,1)</f>
        <v>0</v>
      </c>
      <c r="R79" s="3">
        <f>COUNTIFS($G:$G,N79,$L:$L,0,$H:$H,"&lt;&gt;")+COUNTIFS($J:$J,N79,$M:$M,0,$I:$I,"&lt;&gt;")</f>
        <v>0</v>
      </c>
      <c r="S79" s="3">
        <f>SUMIF($G:$G,N79,$H:$H)+SUMIF($J:$J,N79,$I:$I)</f>
        <v>0</v>
      </c>
      <c r="T79" s="3">
        <f>SUMIF($G:$G,N79,$I:$I)+SUMIF($J:$J,N79,$H:$H)</f>
        <v>0</v>
      </c>
      <c r="U79" s="3">
        <f>S79-T79</f>
        <v>0</v>
      </c>
      <c r="V79" s="3">
        <f>SUMIF($G:$G,N79,$L:$L)+SUMIF($J:$J,N79,$M:$M)</f>
        <v>0</v>
      </c>
    </row>
    <row r="80" spans="4:22" ht="13.2" customHeight="1" thickBot="1" x14ac:dyDescent="0.35">
      <c r="D80" s="11">
        <v>67</v>
      </c>
      <c r="E80" s="12">
        <v>46200</v>
      </c>
      <c r="F80" s="28" t="s">
        <v>52</v>
      </c>
      <c r="G80" s="13" t="s">
        <v>56</v>
      </c>
      <c r="H80" s="28"/>
      <c r="I80" s="28"/>
      <c r="J80" s="14" t="s">
        <v>53</v>
      </c>
      <c r="L80">
        <f t="shared" si="14"/>
        <v>0</v>
      </c>
      <c r="M80">
        <f t="shared" si="15"/>
        <v>0</v>
      </c>
      <c r="N80" t="s">
        <v>55</v>
      </c>
      <c r="O80" s="3">
        <f>P80+Q80+R80</f>
        <v>0</v>
      </c>
      <c r="P80" s="3">
        <f>COUNTIFS($G:$G,N80,$L:$L,3)+COUNTIFS($J:$J,N80,$M:$M,3)</f>
        <v>0</v>
      </c>
      <c r="Q80" s="3">
        <f>COUNTIFS($G:$G,N80,$L:$L,1)+COUNTIFS($J:$J,N80,$M:$M,1)</f>
        <v>0</v>
      </c>
      <c r="R80" s="3">
        <f>COUNTIFS($G:$G,N80,$L:$L,0,$H:$H,"&lt;&gt;")+COUNTIFS($J:$J,N80,$M:$M,0,$I:$I,"&lt;&gt;")</f>
        <v>0</v>
      </c>
      <c r="S80" s="3">
        <f>SUMIF($G:$G,N80,$H:$H)+SUMIF($J:$J,N80,$I:$I)</f>
        <v>0</v>
      </c>
      <c r="T80" s="3">
        <f>SUMIF($G:$G,N80,$I:$I)+SUMIF($J:$J,N80,$H:$H)</f>
        <v>0</v>
      </c>
      <c r="U80" s="3">
        <f>S80-T80</f>
        <v>0</v>
      </c>
      <c r="V80" s="3">
        <f>SUMIF($G:$G,N80,$L:$L)+SUMIF($J:$J,N80,$M:$M)</f>
        <v>0</v>
      </c>
    </row>
    <row r="81" spans="4:22" ht="13.2" customHeight="1" thickBot="1" x14ac:dyDescent="0.35">
      <c r="D81" s="11">
        <v>68</v>
      </c>
      <c r="E81" s="12">
        <v>46200</v>
      </c>
      <c r="F81" s="28" t="s">
        <v>52</v>
      </c>
      <c r="G81" s="13" t="s">
        <v>54</v>
      </c>
      <c r="H81" s="28"/>
      <c r="I81" s="28"/>
      <c r="J81" s="14" t="s">
        <v>55</v>
      </c>
      <c r="L81">
        <f t="shared" si="14"/>
        <v>0</v>
      </c>
      <c r="M81">
        <f t="shared" si="15"/>
        <v>0</v>
      </c>
      <c r="N81" t="s">
        <v>56</v>
      </c>
      <c r="O81" s="3">
        <f>P81+Q81+R81</f>
        <v>0</v>
      </c>
      <c r="P81" s="3">
        <f>COUNTIFS($G:$G,N81,$L:$L,3)+COUNTIFS($J:$J,N81,$M:$M,3)</f>
        <v>0</v>
      </c>
      <c r="Q81" s="3">
        <f>COUNTIFS($G:$G,N81,$L:$L,1)+COUNTIFS($J:$J,N81,$M:$M,1)</f>
        <v>0</v>
      </c>
      <c r="R81" s="3">
        <f>COUNTIFS($G:$G,N81,$L:$L,0,$H:$H,"&lt;&gt;")+COUNTIFS($J:$J,N81,$M:$M,0,$I:$I,"&lt;&gt;")</f>
        <v>0</v>
      </c>
      <c r="S81" s="3">
        <f>SUMIF($G:$G,N81,$H:$H)+SUMIF($J:$J,N81,$I:$I)</f>
        <v>0</v>
      </c>
      <c r="T81" s="3">
        <f>SUMIF($G:$G,N81,$I:$I)+SUMIF($J:$J,N81,$H:$H)</f>
        <v>0</v>
      </c>
      <c r="U81" s="3">
        <f>S81-T81</f>
        <v>0</v>
      </c>
      <c r="V81" s="3">
        <f>SUMIF($G:$G,N81,$L:$L)+SUMIF($J:$J,N81,$M:$M)</f>
        <v>0</v>
      </c>
    </row>
    <row r="82" spans="4:22" ht="13.2" customHeight="1" thickBot="1" x14ac:dyDescent="0.35">
      <c r="D82" s="11">
        <v>69</v>
      </c>
      <c r="E82" s="12">
        <v>46200</v>
      </c>
      <c r="F82" s="28" t="s">
        <v>57</v>
      </c>
      <c r="G82" s="13" t="s">
        <v>61</v>
      </c>
      <c r="H82" s="28"/>
      <c r="I82" s="28"/>
      <c r="J82" s="14" t="s">
        <v>58</v>
      </c>
      <c r="L82">
        <f t="shared" si="14"/>
        <v>0</v>
      </c>
      <c r="M82">
        <f t="shared" si="15"/>
        <v>0</v>
      </c>
      <c r="O82" s="3">
        <f>P82+Q82+R82</f>
        <v>0</v>
      </c>
      <c r="P82" s="3">
        <f>COUNTIFS($G:$G,N82,$L:$L,3)+COUNTIFS($J:$J,N82,$M:$M,3)</f>
        <v>0</v>
      </c>
      <c r="Q82" s="3">
        <f>COUNTIFS($G:$G,N82,$L:$L,1)+COUNTIFS($J:$J,N82,$M:$M,1)</f>
        <v>0</v>
      </c>
      <c r="R82" s="3">
        <f>COUNTIFS($G:$G,N82,$L:$L,0,$H:$H,"&lt;&gt;")+COUNTIFS($J:$J,N82,$M:$M,0,$I:$I,"&lt;&gt;")</f>
        <v>0</v>
      </c>
      <c r="S82" s="3">
        <f>SUMIF($G:$G,N82,$H:$H)+SUMIF($J:$J,N82,$I:$I)</f>
        <v>0</v>
      </c>
      <c r="T82" s="3">
        <f>SUMIF($G:$G,N82,$I:$I)+SUMIF($J:$J,N82,$H:$H)</f>
        <v>0</v>
      </c>
      <c r="U82" s="3">
        <f>S82-T82</f>
        <v>0</v>
      </c>
      <c r="V82" s="3">
        <f>SUMIF($G:$G,N82,$L:$L)+SUMIF($J:$J,N82,$M:$M)</f>
        <v>0</v>
      </c>
    </row>
    <row r="83" spans="4:22" ht="13.2" customHeight="1" thickBot="1" x14ac:dyDescent="0.35">
      <c r="D83" s="11">
        <v>70</v>
      </c>
      <c r="E83" s="12">
        <v>46200</v>
      </c>
      <c r="F83" s="28" t="s">
        <v>57</v>
      </c>
      <c r="G83" s="13" t="s">
        <v>59</v>
      </c>
      <c r="H83" s="28"/>
      <c r="I83" s="28"/>
      <c r="J83" s="14" t="s">
        <v>60</v>
      </c>
      <c r="L83">
        <f t="shared" si="14"/>
        <v>0</v>
      </c>
      <c r="M83">
        <f t="shared" si="15"/>
        <v>0</v>
      </c>
      <c r="N83" s="1" t="s">
        <v>86</v>
      </c>
      <c r="O83" s="1"/>
      <c r="P83" s="1"/>
      <c r="Q83" s="1"/>
      <c r="R83" s="1"/>
      <c r="S83" s="1"/>
      <c r="T83" s="1"/>
      <c r="U83" s="1"/>
      <c r="V83" s="1"/>
    </row>
    <row r="84" spans="4:22" ht="13.2" customHeight="1" thickBot="1" x14ac:dyDescent="0.35">
      <c r="D84" s="11">
        <v>71</v>
      </c>
      <c r="E84" s="12">
        <v>46200</v>
      </c>
      <c r="F84" s="28" t="s">
        <v>62</v>
      </c>
      <c r="G84" s="13" t="s">
        <v>66</v>
      </c>
      <c r="H84" s="28"/>
      <c r="I84" s="28"/>
      <c r="J84" s="14" t="s">
        <v>63</v>
      </c>
      <c r="L84">
        <f t="shared" si="14"/>
        <v>0</v>
      </c>
      <c r="M84">
        <f t="shared" si="15"/>
        <v>0</v>
      </c>
      <c r="N84" s="3" t="s">
        <v>70</v>
      </c>
      <c r="O84" s="3" t="s">
        <v>71</v>
      </c>
      <c r="P84" s="3" t="s">
        <v>37</v>
      </c>
      <c r="Q84" s="3" t="s">
        <v>27</v>
      </c>
      <c r="R84" s="3" t="s">
        <v>72</v>
      </c>
      <c r="S84" s="3" t="s">
        <v>73</v>
      </c>
      <c r="T84" s="3" t="s">
        <v>74</v>
      </c>
      <c r="U84" s="3" t="s">
        <v>75</v>
      </c>
      <c r="V84" s="3" t="s">
        <v>76</v>
      </c>
    </row>
    <row r="85" spans="4:22" ht="15" thickBot="1" x14ac:dyDescent="0.35">
      <c r="D85" s="11">
        <v>72</v>
      </c>
      <c r="E85" s="17">
        <v>46200</v>
      </c>
      <c r="F85" s="29" t="s">
        <v>62</v>
      </c>
      <c r="G85" s="18" t="s">
        <v>64</v>
      </c>
      <c r="H85" s="28"/>
      <c r="I85" s="28"/>
      <c r="J85" s="14" t="s">
        <v>65</v>
      </c>
      <c r="L85">
        <f t="shared" si="14"/>
        <v>0</v>
      </c>
      <c r="M85">
        <f t="shared" si="15"/>
        <v>0</v>
      </c>
      <c r="N85" t="s">
        <v>58</v>
      </c>
      <c r="O85" s="3">
        <f t="shared" ref="O85:O89" si="16">P85+Q85+R85</f>
        <v>0</v>
      </c>
      <c r="P85" s="3">
        <f>COUNTIFS($G:$G,N85,$L:$L,3)+COUNTIFS($J:$J,N85,$M:$M,3)</f>
        <v>0</v>
      </c>
      <c r="Q85" s="3">
        <f>COUNTIFS($G:$G,N85,$L:$L,1)+COUNTIFS($J:$J,N85,$M:$M,1)</f>
        <v>0</v>
      </c>
      <c r="R85" s="3">
        <f>COUNTIFS($G:$G,N85,$L:$L,0,$H:$H,"&lt;&gt;")+COUNTIFS($J:$J,N85,$M:$M,0,$I:$I,"&lt;&gt;")</f>
        <v>0</v>
      </c>
      <c r="S85" s="3">
        <f>SUMIF($G:$G,N85,$H:$H)+SUMIF($J:$J,N85,$I:$I)</f>
        <v>0</v>
      </c>
      <c r="T85" s="3">
        <f>SUMIF($G:$G,N85,$I:$I)+SUMIF($J:$J,N85,$H:$H)</f>
        <v>0</v>
      </c>
      <c r="U85" s="3">
        <f t="shared" ref="U85:U89" si="17">S85-T85</f>
        <v>0</v>
      </c>
      <c r="V85" s="3">
        <f>SUMIF($G:$G,N85,$L:$L)+SUMIF($J:$J,N85,$M:$M)</f>
        <v>0</v>
      </c>
    </row>
    <row r="86" spans="4:22" x14ac:dyDescent="0.3">
      <c r="D86" s="35" t="s">
        <v>95</v>
      </c>
      <c r="E86" s="35"/>
      <c r="F86" s="35"/>
      <c r="G86" s="35"/>
      <c r="H86" s="35"/>
      <c r="I86" s="35"/>
      <c r="J86" s="16"/>
      <c r="N86" t="s">
        <v>59</v>
      </c>
      <c r="O86" s="3">
        <f t="shared" si="16"/>
        <v>0</v>
      </c>
      <c r="P86" s="3">
        <f>COUNTIFS($G:$G,N86,$L:$L,3)+COUNTIFS($J:$J,N86,$M:$M,3)</f>
        <v>0</v>
      </c>
      <c r="Q86" s="3">
        <f>COUNTIFS($G:$G,N86,$L:$L,1)+COUNTIFS($J:$J,N86,$M:$M,1)</f>
        <v>0</v>
      </c>
      <c r="R86" s="3">
        <f>COUNTIFS($G:$G,N86,$L:$L,0,$H:$H,"&lt;&gt;")+COUNTIFS($J:$J,N86,$M:$M,0,$I:$I,"&lt;&gt;")</f>
        <v>0</v>
      </c>
      <c r="S86" s="3">
        <f>SUMIF($G:$G,N86,$H:$H)+SUMIF($J:$J,N86,$I:$I)</f>
        <v>0</v>
      </c>
      <c r="T86" s="3">
        <f>SUMIF($G:$G,N86,$I:$I)+SUMIF($J:$J,N86,$H:$H)</f>
        <v>0</v>
      </c>
      <c r="U86" s="3">
        <f t="shared" si="17"/>
        <v>0</v>
      </c>
      <c r="V86" s="3">
        <f>SUMIF($G:$G,N86,$L:$L)+SUMIF($J:$J,N86,$M:$M)</f>
        <v>0</v>
      </c>
    </row>
    <row r="87" spans="4:22" x14ac:dyDescent="0.3">
      <c r="D87" s="8" t="s">
        <v>0</v>
      </c>
      <c r="E87" s="8" t="s">
        <v>1</v>
      </c>
      <c r="F87" s="8" t="s">
        <v>70</v>
      </c>
      <c r="G87" s="34" t="s">
        <v>89</v>
      </c>
      <c r="H87" s="34"/>
      <c r="I87" s="8" t="s">
        <v>70</v>
      </c>
      <c r="J87" s="10"/>
      <c r="N87" t="s">
        <v>60</v>
      </c>
      <c r="O87" s="3">
        <f>P87+Q87+R87</f>
        <v>0</v>
      </c>
      <c r="P87" s="3">
        <f>COUNTIFS($G:$G,N87,$L:$L,3)+COUNTIFS($J:$J,N87,$M:$M,3)</f>
        <v>0</v>
      </c>
      <c r="Q87" s="3">
        <f>COUNTIFS($G:$G,N87,$L:$L,1)+COUNTIFS($J:$J,N87,$M:$M,1)</f>
        <v>0</v>
      </c>
      <c r="R87" s="3">
        <f>COUNTIFS($G:$G,N87,$L:$L,0,$H:$H,"&lt;&gt;")+COUNTIFS($J:$J,N87,$M:$M,0,$I:$I,"&lt;&gt;")</f>
        <v>0</v>
      </c>
      <c r="S87" s="3">
        <f>SUMIF($G:$G,N87,$H:$H)+SUMIF($J:$J,N87,$I:$I)</f>
        <v>0</v>
      </c>
      <c r="T87" s="3">
        <f>SUMIF($G:$G,N87,$I:$I)+SUMIF($J:$J,N87,$H:$H)</f>
        <v>0</v>
      </c>
      <c r="U87" s="3">
        <f>S87-T87</f>
        <v>0</v>
      </c>
      <c r="V87" s="3">
        <f>SUMIF($G:$G,N87,$L:$L)+SUMIF($J:$J,N87,$M:$M)</f>
        <v>0</v>
      </c>
    </row>
    <row r="88" spans="4:22" x14ac:dyDescent="0.3">
      <c r="D88" s="8">
        <v>73</v>
      </c>
      <c r="E88" s="19">
        <v>46201</v>
      </c>
      <c r="F88" s="15" t="str">
        <f>IF(AND(Y15=3,Y16=3,Y17=3,Y18=3),X16,"Segundo A")</f>
        <v>Segundo A</v>
      </c>
      <c r="G88" s="15"/>
      <c r="H88" s="15"/>
      <c r="I88" s="15" t="str">
        <f>IF(AND(AI15=3,AI16=3,AI17=3,AI18=3,Y22=3),AH16,"Segundo B")</f>
        <v>Segundo B</v>
      </c>
      <c r="N88" t="s">
        <v>61</v>
      </c>
      <c r="O88" s="3">
        <f>P88+Q88+R88</f>
        <v>0</v>
      </c>
      <c r="P88" s="3">
        <f>COUNTIFS($G:$G,N88,$L:$L,3)+COUNTIFS($J:$J,N88,$M:$M,3)</f>
        <v>0</v>
      </c>
      <c r="Q88" s="3">
        <f>COUNTIFS($G:$G,N88,$L:$L,1)+COUNTIFS($J:$J,N88,$M:$M,1)</f>
        <v>0</v>
      </c>
      <c r="R88" s="3">
        <f>COUNTIFS($G:$G,N88,$L:$L,0,$H:$H,"&lt;&gt;")+COUNTIFS($J:$J,N88,$M:$M,0,$I:$I,"&lt;&gt;")</f>
        <v>0</v>
      </c>
      <c r="S88" s="3">
        <f>SUMIF($G:$G,N88,$H:$H)+SUMIF($J:$J,N88,$I:$I)</f>
        <v>0</v>
      </c>
      <c r="T88" s="3">
        <f>SUMIF($G:$G,N88,$I:$I)+SUMIF($J:$J,N88,$H:$H)</f>
        <v>0</v>
      </c>
      <c r="U88" s="3">
        <f>S88-T88</f>
        <v>0</v>
      </c>
      <c r="V88" s="3">
        <f>SUMIF($G:$G,N88,$L:$L)+SUMIF($J:$J,N88,$M:$M)</f>
        <v>0</v>
      </c>
    </row>
    <row r="89" spans="4:22" x14ac:dyDescent="0.3">
      <c r="D89" s="8">
        <v>74</v>
      </c>
      <c r="E89" s="19">
        <v>46202</v>
      </c>
      <c r="F89" s="15" t="str">
        <f>IF(AND(Y29=3,Y30=3,Y31=3,Y32=3),X29,"Primero E")</f>
        <v>Primero E</v>
      </c>
      <c r="G89" s="15"/>
      <c r="H89" s="15"/>
      <c r="I89" s="15" t="str" cm="1">
        <f t="array" ref="I89">IF(MIN(Y15:Y18, AI15:AI18,Y22:Y25,AI22:AI25,Y29:Y32,AI29:AI32,Y36:Y39,AI36:AI39,Y43:Y46,AI43:AI46,Y50:Y53,AI50:AI53)=3,
   IFERROR(
      INDEX(_xlfn._xlws.FILTER(AX15:AX22, (AW15:AW22="A")+(AW15:AW22="B")+(AW15:AW22="C")+(AW15:AW22="D")+(AW15:AW22="F")), 1),
      AX15
   ),
"Tercero A/B/C/D/F")</f>
        <v>Tercero A/B/C/D/F</v>
      </c>
    </row>
    <row r="90" spans="4:22" x14ac:dyDescent="0.3">
      <c r="D90" s="8">
        <v>75</v>
      </c>
      <c r="E90" s="19">
        <v>46202</v>
      </c>
      <c r="F90" s="15" t="str">
        <f>IF(AND(AI29=3,AI30=3,AI31=3,AI32=3),AH29,"Primero F")</f>
        <v>Primero F</v>
      </c>
      <c r="G90" s="15"/>
      <c r="H90" s="15"/>
      <c r="I90" s="15" t="str">
        <f>IF(AND(Y22=3,Y23=3,Y24=3,Y25=3),X23,"Segundo C")</f>
        <v>Segundo C</v>
      </c>
      <c r="O90" s="3">
        <f t="shared" ref="O90:O96" si="18">P90+Q90+R90</f>
        <v>0</v>
      </c>
      <c r="P90" s="3">
        <f>COUNTIFS($G:$G,N90,$L:$L,3)+COUNTIFS($J:$J,N90,$M:$M,3)</f>
        <v>0</v>
      </c>
      <c r="Q90" s="3">
        <f>COUNTIFS($G:$G,N90,$L:$L,1)+COUNTIFS($J:$J,N90,$M:$M,1)</f>
        <v>0</v>
      </c>
      <c r="R90" s="3">
        <f>COUNTIFS($G:$G,N90,$L:$L,0,$H:$H,"&lt;&gt;")+COUNTIFS($J:$J,N90,$M:$M,0,$I:$I,"&lt;&gt;")</f>
        <v>0</v>
      </c>
      <c r="S90" s="3">
        <f>SUMIF($G:$G,N90,$H:$H)+SUMIF($J:$J,N90,$I:$I)</f>
        <v>0</v>
      </c>
      <c r="T90" s="3">
        <f>SUMIF($G:$G,N90,$I:$I)+SUMIF($J:$J,N90,$H:$H)</f>
        <v>0</v>
      </c>
      <c r="U90" s="3">
        <f t="shared" ref="U90:U96" si="19">S90-T90</f>
        <v>0</v>
      </c>
      <c r="V90" s="3">
        <f>SUMIF($G:$G,N90,$L:$L)+SUMIF($J:$J,N90,$M:$M)</f>
        <v>0</v>
      </c>
    </row>
    <row r="91" spans="4:22" x14ac:dyDescent="0.3">
      <c r="D91" s="8">
        <v>76</v>
      </c>
      <c r="E91" s="19">
        <v>46202</v>
      </c>
      <c r="F91" s="15" t="str">
        <f>IF(AND(Y22=3,Y23=3,Y24=3,Y25=3),X22,"Primero C")</f>
        <v>Primero C</v>
      </c>
      <c r="G91" s="15"/>
      <c r="H91" s="15"/>
      <c r="I91" s="15" t="str">
        <f>IF(AND(AI29=3,AI30=3,AI31=3,AI32=3),AH30,"Segundo F")</f>
        <v>Segundo F</v>
      </c>
      <c r="N91" s="1" t="s">
        <v>87</v>
      </c>
      <c r="O91" s="1"/>
      <c r="P91" s="1"/>
      <c r="Q91" s="1"/>
      <c r="R91" s="1"/>
      <c r="S91" s="1"/>
      <c r="T91" s="1"/>
      <c r="U91" s="1"/>
      <c r="V91" s="1"/>
    </row>
    <row r="92" spans="4:22" x14ac:dyDescent="0.3">
      <c r="D92" s="8">
        <v>77</v>
      </c>
      <c r="E92" s="19">
        <v>46203</v>
      </c>
      <c r="F92" s="15" t="str">
        <f>IF(AND(Y43=3,Y44=3,Y45=3,Y46=3),X43,"Primero I")</f>
        <v>Primero I</v>
      </c>
      <c r="G92" s="15"/>
      <c r="H92" s="15"/>
      <c r="I92" s="15" t="str" cm="1">
        <f t="array" ref="I92">IF(MIN(Y15:Y18,AI15:AI18,Y22:Y25,AI22:AI25,Y29:Y32,AI29:AI32,Y36:Y39,AI36:AI39,Y43:Y46,AI43:AI46,Y50:Y53,AI50:AI53)=3,
   IFERROR(
      INDEX(_xlfn._xlws.FILTER(AX15:AX22, ((AW15:AW22="C")+(AW15:AW22="D")+(AW15:AW22="F")+(AW15:AW22="G")+(AW15:AW22="H")) * (AX15:AX22 &lt;&gt; I89)), 1),
      INDEX(_xlfn._xlws.FILTER(AX15:AX22, AX15:AX22 &lt;&gt; I89), 1)
   ),
"Tercero C/D/F/G/H")</f>
        <v>Tercero C/D/F/G/H</v>
      </c>
      <c r="N92" s="3" t="s">
        <v>70</v>
      </c>
      <c r="O92" s="3" t="s">
        <v>71</v>
      </c>
      <c r="P92" s="3" t="s">
        <v>37</v>
      </c>
      <c r="Q92" s="3" t="s">
        <v>27</v>
      </c>
      <c r="R92" s="3" t="s">
        <v>72</v>
      </c>
      <c r="S92" s="3" t="s">
        <v>73</v>
      </c>
      <c r="T92" s="3" t="s">
        <v>74</v>
      </c>
      <c r="U92" s="3" t="s">
        <v>75</v>
      </c>
      <c r="V92" s="3" t="s">
        <v>76</v>
      </c>
    </row>
    <row r="93" spans="4:22" x14ac:dyDescent="0.3">
      <c r="D93" s="8">
        <v>78</v>
      </c>
      <c r="E93" s="19">
        <v>46203</v>
      </c>
      <c r="F93" s="15" t="str">
        <f>IF(AND(Y29=3,Y30=3,Y31=3,Y32=3),X30,"Segundo E")</f>
        <v>Segundo E</v>
      </c>
      <c r="G93" s="15"/>
      <c r="H93" s="15"/>
      <c r="I93" s="15" t="str">
        <f>IF(AND(Y43=3,Y44=3,Y45=3,Y46=3),X44,"Segundo I")</f>
        <v>Segundo I</v>
      </c>
      <c r="N93" t="s">
        <v>63</v>
      </c>
      <c r="O93" s="3">
        <f t="shared" si="18"/>
        <v>0</v>
      </c>
      <c r="P93" s="3">
        <f>COUNTIFS($G:$G,N93,$L:$L,3)+COUNTIFS($J:$J,N93,$M:$M,3)</f>
        <v>0</v>
      </c>
      <c r="Q93" s="3">
        <f>COUNTIFS($G:$G,N93,$L:$L,1)+COUNTIFS($J:$J,N93,$M:$M,1)</f>
        <v>0</v>
      </c>
      <c r="R93" s="3">
        <f>COUNTIFS($G:$G,N93,$L:$L,0,$H:$H,"&lt;&gt;")+COUNTIFS($J:$J,N93,$M:$M,0,$I:$I,"&lt;&gt;")</f>
        <v>0</v>
      </c>
      <c r="S93" s="3">
        <f>SUMIF($G:$G,N93,$H:$H)+SUMIF($J:$J,N93,$I:$I)</f>
        <v>0</v>
      </c>
      <c r="T93" s="3">
        <f>SUMIF($G:$G,N93,$I:$I)+SUMIF($J:$J,N93,$H:$H)</f>
        <v>0</v>
      </c>
      <c r="U93" s="3">
        <f t="shared" si="19"/>
        <v>0</v>
      </c>
      <c r="V93" s="3">
        <f>SUMIF($G:$G,N93,$L:$L)+SUMIF($J:$J,N93,$M:$M)</f>
        <v>0</v>
      </c>
    </row>
    <row r="94" spans="4:22" x14ac:dyDescent="0.3">
      <c r="D94" s="8">
        <v>79</v>
      </c>
      <c r="E94" s="19">
        <v>46203</v>
      </c>
      <c r="F94" s="15" t="str">
        <f>IF(AND(Y15=3,Y16=3,Y17=3,Y18=3),X15,"Primero A")</f>
        <v>Primero A</v>
      </c>
      <c r="G94" s="15"/>
      <c r="H94" s="15"/>
      <c r="I94" s="15" t="str" cm="1">
        <f t="array" ref="I94">IF(MIN(Y15:Y18,AI15:AI18,Y22:Y25,AI22:AI25,Y29:Y32,AI29:AI32,Y36:Y39,AI36:AI39,Y43:Y46,AI43:AI46,Y50:Y53,AI50:AI53)=3,
   IFERROR(
      INDEX(_xlfn._xlws.FILTER(AX15:AX22, ((AW15:AW22="C")+(AW15:AW22="E")+(AW15:AW22="F")+(AW15:AW22="H")+(AW15:AW22="I")) * (AX15:AX22 &lt;&gt;I89) * (AX15:AX22 &lt;&gt;I92)), 1),
      INDEX(_xlfn._xlws.FILTER(AX15:AX22, (AX15:AX22 &lt;&gt;I89) * (AX15:AX22 &lt;&gt; I92)), 1)
   ),
"Tercero C/E/F/H/I")</f>
        <v>Tercero C/E/F/H/I</v>
      </c>
      <c r="N94" t="s">
        <v>65</v>
      </c>
      <c r="O94" s="3">
        <f t="shared" si="18"/>
        <v>0</v>
      </c>
      <c r="P94" s="3">
        <f>COUNTIFS($G:$G,N94,$L:$L,3)+COUNTIFS($J:$J,N94,$M:$M,3)</f>
        <v>0</v>
      </c>
      <c r="Q94" s="3">
        <f>COUNTIFS($G:$G,N94,$L:$L,1)+COUNTIFS($J:$J,N94,$M:$M,1)</f>
        <v>0</v>
      </c>
      <c r="R94" s="3">
        <f>COUNTIFS($G:$G,N94,$L:$L,0,$H:$H,"&lt;&gt;")+COUNTIFS($J:$J,N94,$M:$M,0,$I:$I,"&lt;&gt;")</f>
        <v>0</v>
      </c>
      <c r="S94" s="3">
        <f>SUMIF($G:$G,N94,$H:$H)+SUMIF($J:$J,N94,$I:$I)</f>
        <v>0</v>
      </c>
      <c r="T94" s="3">
        <f>SUMIF($G:$G,N94,$I:$I)+SUMIF($J:$J,N94,$H:$H)</f>
        <v>0</v>
      </c>
      <c r="U94" s="3">
        <f t="shared" si="19"/>
        <v>0</v>
      </c>
      <c r="V94" s="3">
        <f>SUMIF($G:$G,N94,$L:$L)+SUMIF($J:$J,N94,$M:$M)</f>
        <v>0</v>
      </c>
    </row>
    <row r="95" spans="4:22" x14ac:dyDescent="0.3">
      <c r="D95" s="8">
        <v>80</v>
      </c>
      <c r="E95" s="19">
        <v>46204</v>
      </c>
      <c r="F95" s="15" t="str">
        <f>IF(AND(AI50=3,AI51=3,AI52=3,AI53=3),AH50,"Primero L")</f>
        <v>Primero L</v>
      </c>
      <c r="G95" s="15"/>
      <c r="H95" s="15"/>
      <c r="I95" s="15" t="str" cm="1">
        <f t="array" ref="I95">IF(MIN(Y15:Y18,AI15:AI18,Y22:Y25,AI22:AI25,Y29:Y32,AI29:AI32,Y36:Y39,AI36:AI39,Y43:Y46,AI43:AI46,Y50:Y53,AI50:AI53)=3,
   IFERROR(
      INDEX(_xlfn._xlws.FILTER(AX15:AX22, ((AW15:AW22="E")+(AW15:AW22="H")+(AW15:AW22="I")+(AW15:AW22="J")+(AW15:AW22="K")) * (AX15:AX22 &lt;&gt;I89) * (AX15:AX22 &lt;&gt;I92) * (AX15:AX22 &lt;&gt;I94)), 1),
      INDEX(_xlfn._xlws.FILTER(AX15:AX22, (AX15:AX22 &lt;&gt; I89) * (AX15:AX22 &lt;&gt; I92) * (AX15:AX22 &lt;&gt;I94)), 1)
   ),
"Tercero E/H/I/J/K")</f>
        <v>Tercero E/H/I/J/K</v>
      </c>
      <c r="N95" t="s">
        <v>64</v>
      </c>
      <c r="O95" s="3">
        <f t="shared" si="18"/>
        <v>0</v>
      </c>
      <c r="P95" s="3">
        <f>COUNTIFS($G:$G,N95,$L:$L,3)+COUNTIFS($J:$J,N95,$M:$M,3)</f>
        <v>0</v>
      </c>
      <c r="Q95" s="3">
        <f>COUNTIFS($G:$G,N95,$L:$L,1)+COUNTIFS($J:$J,N95,$M:$M,1)</f>
        <v>0</v>
      </c>
      <c r="R95" s="3">
        <f>COUNTIFS($G:$G,N95,$L:$L,0,$H:$H,"&lt;&gt;")+COUNTIFS($J:$J,N95,$M:$M,0,$I:$I,"&lt;&gt;")</f>
        <v>0</v>
      </c>
      <c r="S95" s="3">
        <f>SUMIF($G:$G,N95,$H:$H)+SUMIF($J:$J,N95,$I:$I)</f>
        <v>0</v>
      </c>
      <c r="T95" s="3">
        <f>SUMIF($G:$G,N95,$I:$I)+SUMIF($J:$J,N95,$H:$H)</f>
        <v>0</v>
      </c>
      <c r="U95" s="3">
        <f t="shared" si="19"/>
        <v>0</v>
      </c>
      <c r="V95" s="3">
        <f>SUMIF($G:$G,N95,$L:$L)+SUMIF($J:$J,N95,$M:$M)</f>
        <v>0</v>
      </c>
    </row>
    <row r="96" spans="4:22" x14ac:dyDescent="0.3">
      <c r="D96" s="8">
        <v>81</v>
      </c>
      <c r="E96" s="19">
        <v>46204</v>
      </c>
      <c r="F96" s="15" t="str">
        <f>IF(AND(AI22=3,AI23=3,AI24=3,AI25=3),AH22,"Primero D")</f>
        <v>Primero D</v>
      </c>
      <c r="G96" s="15"/>
      <c r="H96" s="15"/>
      <c r="I96" s="15" t="str" cm="1">
        <f t="array" ref="I96">IF(MIN(Y15:Y18,AI15:AI18,Y22:Y25,AI22:AI25,Y29:Y32,AI29:AI32,Y36:Y39,AI36:AI39,Y43:Y46,AI43:AI46,Y50:Y53,AI50:AI53)=3,
   IFERROR(
      INDEX(_xlfn._xlws.FILTER(AX15:AX22, ((AW15:AW22="B")+(AW15:AW22="E")+(AW15:AW22="F")+(AW15:AW22="I")+(AW15:AW22="J")) * (AX15:AX22 &lt;&gt;I89) * (AX15:AX22 &lt;&gt;I92) * (AX15:AX22 &lt;&gt;I94)* (AX15:AX22 &lt;&gt;I95)), 1),
      INDEX(_xlfn._xlws.FILTER(AX15:AX22, (AX15:AX22 &lt;&gt; I89) * (AX15:AX22 &lt;&gt; I92) * (AX15:AX22 &lt;&gt;I94)* (AX15:AX22 &lt;&gt;I95)), 1)
   ),
"TerceroB/E/F/I/J")</f>
        <v>TerceroB/E/F/I/J</v>
      </c>
      <c r="N96" t="s">
        <v>66</v>
      </c>
      <c r="O96" s="3">
        <f t="shared" si="18"/>
        <v>0</v>
      </c>
      <c r="P96" s="3">
        <f>COUNTIFS($G:$G,N96,$L:$L,3)+COUNTIFS($J:$J,N96,$M:$M,3)</f>
        <v>0</v>
      </c>
      <c r="Q96" s="3">
        <f>COUNTIFS($G:$G,N96,$L:$L,1)+COUNTIFS($J:$J,N96,$M:$M,1)</f>
        <v>0</v>
      </c>
      <c r="R96" s="3">
        <f>COUNTIFS($G:$G,N96,$L:$L,0,$H:$H,"&lt;&gt;")+COUNTIFS($J:$J,N96,$M:$M,0,$I:$I,"&lt;&gt;")</f>
        <v>0</v>
      </c>
      <c r="S96" s="3">
        <f>SUMIF($G:$G,N96,$H:$H)+SUMIF($J:$J,N96,$I:$I)</f>
        <v>0</v>
      </c>
      <c r="T96" s="3">
        <f>SUMIF($G:$G,N96,$I:$I)+SUMIF($J:$J,N96,$H:$H)</f>
        <v>0</v>
      </c>
      <c r="U96" s="3">
        <f t="shared" si="19"/>
        <v>0</v>
      </c>
      <c r="V96" s="3">
        <f>SUMIF($G:$G,N96,$L:$L)+SUMIF($J:$J,N96,$M:$M)</f>
        <v>0</v>
      </c>
    </row>
    <row r="97" spans="4:9" x14ac:dyDescent="0.3">
      <c r="D97" s="8">
        <v>82</v>
      </c>
      <c r="E97" s="19">
        <v>46204</v>
      </c>
      <c r="F97" s="15" t="str">
        <f>IF(AND(Y36=3,Y37=3,Y38=3,Y39=3),X36,"Primero G")</f>
        <v>Primero G</v>
      </c>
      <c r="G97" s="15"/>
      <c r="H97" s="15"/>
      <c r="I97" s="15" t="str" cm="1">
        <f t="array" ref="I97">IF(MIN(Y15:Y18,AI15:AI18,Y22:Y25,AI22:AI25,Y29:Y32,AI29:AI32,Y36:Y39,AI36:AI39,Y43:Y46,AI43:AI46,Y50:Y53,AI50:AI53)=3,
   IFERROR(
      INDEX(_xlfn._xlws.FILTER(AX15:AX22, ((AW15:AW22="A")+(AW15:AW22="E")+(AW15:AW22="H")+(AW15:AW22="I")+(AW15:AW22="J")) * (AX15:AX22 &lt;&gt;I89) * (AX15:AX22 &lt;&gt;I92) * (AX15:AX22 &lt;&gt;I94)* (AX15:AX22 &lt;&gt;I95)* (AX15:AX22 &lt;&gt;I96)), 1),
      INDEX(_xlfn._xlws.FILTER(AX15:AX22, (AX15:AX22 &lt;&gt; I89) * (AX15:AX22 &lt;&gt; I92) * (AX15:AX22 &lt;&gt;I94)* (AX15:AX22 &lt;&gt;I95)* (AX15:AX22 &lt;&gt;I96)), 1)
   ),
"Tercero A/E/H/I/J")</f>
        <v>Tercero A/E/H/I/J</v>
      </c>
    </row>
    <row r="98" spans="4:9" x14ac:dyDescent="0.3">
      <c r="D98" s="8">
        <v>83</v>
      </c>
      <c r="E98" s="19">
        <v>46205</v>
      </c>
      <c r="F98" s="15" t="str">
        <f>IF(AND(Y50=3,Y51=3,Y52=3,Y53=3),X51,"Segundo K")</f>
        <v>Segundo K</v>
      </c>
      <c r="G98" s="15"/>
      <c r="H98" s="15"/>
      <c r="I98" s="15" t="str">
        <f>IF(AND(AI50=3,AI51=3,AI52=3,AI53=3),AH51,"Segundo L")</f>
        <v>Segundo L</v>
      </c>
    </row>
    <row r="99" spans="4:9" x14ac:dyDescent="0.3">
      <c r="D99" s="8">
        <v>84</v>
      </c>
      <c r="E99" s="19">
        <v>46205</v>
      </c>
      <c r="F99" s="15" t="str">
        <f>IF(AND(AI36=3,AI37=3,AI38=3,AI39=3),AH36,"Primero H")</f>
        <v>Primero H</v>
      </c>
      <c r="G99" s="15"/>
      <c r="H99" s="15"/>
      <c r="I99" s="15" t="str">
        <f>IF(AND(AI43=3,AI44=3,AI45=3,AI46=3),AH44,"Segundo J")</f>
        <v>Segundo J</v>
      </c>
    </row>
    <row r="100" spans="4:9" x14ac:dyDescent="0.3">
      <c r="D100" s="8">
        <v>85</v>
      </c>
      <c r="E100" s="19">
        <v>46205</v>
      </c>
      <c r="F100" s="15" t="str">
        <f>IF(AND(AI15=3,AI16=3,AI17=3,AI18=3),AH15,"Primero B")</f>
        <v>Primero B</v>
      </c>
      <c r="G100" s="15"/>
      <c r="H100" s="15"/>
      <c r="I100" s="15" t="str" cm="1">
        <f t="array" ref="I100">IF(MIN(Y15:Y18,AI15:AI18,Y22:Y25,AI22:AI25,Y29:Y32,AI29:AI32,Y36:Y39,AI36:AI39,Y43:Y46,AI43:AI46,Y50:Y53,AI50:AI53)=3,
   IFERROR(
      INDEX(_xlfn._xlws.FILTER(AX15:AX22, ((AW15:AW22="E")+(AW15:AW22="F")+(AW15:AW22="G")+(AW15:AW22="I")+(AW15:AW22="J")) * (AX15:AX22 &lt;&gt;I89) * (AX15:AX22 &lt;&gt;I92) * (AX15:AX22 &lt;&gt;I94)* (AX15:AX22 &lt;&gt;I95)* (AX15:AX22 &lt;&gt;I96)* (AX15:AX22 &lt;&gt;I97)), 1),
      INDEX(_xlfn._xlws.FILTER(AX15:AX22, (AX15:AX22 &lt;&gt; I89) * (AX15:AX22 &lt;&gt; I92) * (AX15:AX22 &lt;&gt;I94)* (AX15:AX22 &lt;&gt;I95)* (AX15:AX22 &lt;&gt;I96)* (AX15:AX22 &lt;&gt;I97)), 1)
   ),
"Tercero E/F/G/I/J")</f>
        <v>Tercero E/F/G/I/J</v>
      </c>
    </row>
    <row r="101" spans="4:9" x14ac:dyDescent="0.3">
      <c r="D101" s="8">
        <v>86</v>
      </c>
      <c r="E101" s="19">
        <v>46206</v>
      </c>
      <c r="F101" s="15" t="str">
        <f>IF(AND(AI43=3,AI44=3,AI45=3,AI46=3),AH43,"Primero J")</f>
        <v>Primero J</v>
      </c>
      <c r="G101" s="15"/>
      <c r="H101" s="15"/>
      <c r="I101" s="15" t="str">
        <f>IF(AND(AI36=3,AI37=3,AI38=3,AI39=3),AH37,"Segundo H")</f>
        <v>Segundo H</v>
      </c>
    </row>
    <row r="102" spans="4:9" x14ac:dyDescent="0.3">
      <c r="D102" s="8">
        <v>87</v>
      </c>
      <c r="E102" s="19">
        <v>46206</v>
      </c>
      <c r="F102" s="15" t="str">
        <f>IF(AND(Y50=3,Y51=3,Y52=3,Y53=3),X50,"Primero K")</f>
        <v>Primero K</v>
      </c>
      <c r="G102" s="15"/>
      <c r="H102" s="15"/>
      <c r="I102" s="15" t="str" cm="1">
        <f t="array" ref="I102">IF(MIN(Y15:Y18,AI15:AI18,Y22:Y25,AI22:AI25,Y29:Y32,AI29:AI32,Y36:Y39,AI36:AI39,Y43:Y46,AI43:AI46,Y50:Y53,AI50:AI53)=3,
   IFERROR(
      INDEX(_xlfn._xlws.FILTER(AX15:AX22, ((AW15:AW22="D")+(AW15:AW22="E")+(AW15:AW22="I")+(AW15:AW22="J")+(AW15:AW22="L")) * (AX15:AX22 &lt;&gt;I89) * (AX15:AX22 &lt;&gt;I92) * (AX15:AX22 &lt;&gt;I94)* (AX15:AX22 &lt;&gt;I95)* (AX15:AX22 &lt;&gt;I96)*(AX15:AX22 &lt;&gt;I97)*(AX15:AX22 &lt;&gt;I100)), 1),
      INDEX(_xlfn._xlws.FILTER(AX15:AX22, (AX15:AX22 &lt;&gt; I89) * (AX15:AX22 &lt;&gt; I92) * (AX15:AX22 &lt;&gt;I94)* (AX15:AX22 &lt;&gt;I95)* (AX15:AX22 &lt;&gt;I96)* (AX15:AX22 &lt;&gt;I97)*(AX15:AX22 &lt;&gt;I100)), 1)
   ),
"Tercero D/E/I/J/L")</f>
        <v>Tercero D/E/I/J/L</v>
      </c>
    </row>
    <row r="103" spans="4:9" x14ac:dyDescent="0.3">
      <c r="D103" s="8">
        <v>88</v>
      </c>
      <c r="E103" s="19">
        <v>46206</v>
      </c>
      <c r="F103" s="8" t="str">
        <f>IF(AND(AI22=3,AI23=3,AI24=3,AI25=3),AH23,"Segundo D")</f>
        <v>Segundo D</v>
      </c>
      <c r="G103" s="8"/>
      <c r="H103" s="8"/>
      <c r="I103" s="8" t="str">
        <f>IF(AND(Y36=3,Y37=3,Y38=3,Y39=3),X37,"Segundo G")</f>
        <v>Segundo G</v>
      </c>
    </row>
    <row r="104" spans="4:9" x14ac:dyDescent="0.3">
      <c r="D104" s="35" t="s">
        <v>90</v>
      </c>
      <c r="E104" s="35"/>
      <c r="F104" s="35"/>
      <c r="G104" s="35"/>
      <c r="H104" s="35"/>
      <c r="I104" s="35"/>
    </row>
    <row r="105" spans="4:9" x14ac:dyDescent="0.3">
      <c r="D105" s="7" t="s">
        <v>0</v>
      </c>
      <c r="E105" s="7" t="s">
        <v>1</v>
      </c>
      <c r="F105" s="7" t="s">
        <v>70</v>
      </c>
      <c r="G105" s="36" t="s">
        <v>89</v>
      </c>
      <c r="H105" s="36"/>
      <c r="I105" s="7" t="s">
        <v>70</v>
      </c>
    </row>
    <row r="106" spans="4:9" x14ac:dyDescent="0.3">
      <c r="D106" s="7">
        <v>89</v>
      </c>
      <c r="E106" s="20">
        <v>46207</v>
      </c>
      <c r="F106" s="7" t="str">
        <f>IF(AND(G89="",H89=""),"Ganador 74",IF(G89="X",F89,I89))</f>
        <v>Ganador 74</v>
      </c>
      <c r="G106" s="7"/>
      <c r="H106" s="7"/>
      <c r="I106" s="7" t="str">
        <f>IF(AND(G92="",H92=""),"Ganador 77",IF(G92="X",F92,I92))</f>
        <v>Ganador 77</v>
      </c>
    </row>
    <row r="107" spans="4:9" x14ac:dyDescent="0.3">
      <c r="D107" s="7">
        <v>90</v>
      </c>
      <c r="E107" s="20">
        <v>46207</v>
      </c>
      <c r="F107" s="7" t="str">
        <f>IF(AND(G88="",H88=""),"Ganador 73",IF(G88="X",F88,I88))</f>
        <v>Ganador 73</v>
      </c>
      <c r="G107" s="7"/>
      <c r="H107" s="7"/>
      <c r="I107" s="7" t="str">
        <f>IF(AND(G90="",H90=""),"Ganador 75",IF(G90="X",F90,I90))</f>
        <v>Ganador 75</v>
      </c>
    </row>
    <row r="108" spans="4:9" x14ac:dyDescent="0.3">
      <c r="D108" s="7">
        <v>91</v>
      </c>
      <c r="E108" s="20">
        <v>46208</v>
      </c>
      <c r="F108" s="7" t="str">
        <f>IF(AND(G91="",H91=""),"Ganador 76",IF(G91="X",F91,I91))</f>
        <v>Ganador 76</v>
      </c>
      <c r="G108" s="7"/>
      <c r="H108" s="7"/>
      <c r="I108" s="7" t="str">
        <f>IF(AND(G93="",H93=""),"Ganador 78",IF(G93="X",F93,I93))</f>
        <v>Ganador 78</v>
      </c>
    </row>
    <row r="109" spans="4:9" x14ac:dyDescent="0.3">
      <c r="D109" s="7">
        <v>92</v>
      </c>
      <c r="E109" s="20">
        <v>46208</v>
      </c>
      <c r="F109" s="7" t="str">
        <f>IF(AND(G94="",H94=""),"Ganador 79",IF(G94="X",F94,I94))</f>
        <v>Ganador 79</v>
      </c>
      <c r="G109" s="7"/>
      <c r="H109" s="7"/>
      <c r="I109" s="7" t="str">
        <f>IF(AND(G95="",H95=""),"Ganador 80",IF(G95="X",F95,I95))</f>
        <v>Ganador 80</v>
      </c>
    </row>
    <row r="110" spans="4:9" x14ac:dyDescent="0.3">
      <c r="D110" s="7">
        <v>93</v>
      </c>
      <c r="E110" s="20">
        <v>46209</v>
      </c>
      <c r="F110" s="7" t="str">
        <f>IF(AND(G98="",H98=""),"Ganador 83",IF(G98="X",F98,I98))</f>
        <v>Ganador 83</v>
      </c>
      <c r="G110" s="7"/>
      <c r="H110" s="7"/>
      <c r="I110" s="7" t="str">
        <f>IF(AND(G99="",H99=""),"Ganador 84",IF(G99="X",F99,I99))</f>
        <v>Ganador 84</v>
      </c>
    </row>
    <row r="111" spans="4:9" x14ac:dyDescent="0.3">
      <c r="D111" s="7">
        <v>94</v>
      </c>
      <c r="E111" s="20">
        <v>46209</v>
      </c>
      <c r="F111" s="7" t="str">
        <f>IF(AND(G96="",H96=""),"Ganador 81",IF(G96="X",F96,I96))</f>
        <v>Ganador 81</v>
      </c>
      <c r="G111" s="7"/>
      <c r="H111" s="7"/>
      <c r="I111" s="7" t="str">
        <f>IF(AND(G97="",H97=""),"Ganador 82",IF(G97="X",F97,I97))</f>
        <v>Ganador 82</v>
      </c>
    </row>
    <row r="112" spans="4:9" x14ac:dyDescent="0.3">
      <c r="D112" s="7">
        <v>95</v>
      </c>
      <c r="E112" s="20">
        <v>46210</v>
      </c>
      <c r="F112" s="7" t="str">
        <f>IF(AND(G101="",H101=""),"Ganador 86",IF(G101="X",F101,I101))</f>
        <v>Ganador 86</v>
      </c>
      <c r="G112" s="7"/>
      <c r="H112" s="7"/>
      <c r="I112" s="7" t="str">
        <f>IF(AND(G103="",H103=""),"Ganador 88",IF(G103="X",F103,I103))</f>
        <v>Ganador 88</v>
      </c>
    </row>
    <row r="113" spans="4:9" x14ac:dyDescent="0.3">
      <c r="D113" s="7">
        <v>96</v>
      </c>
      <c r="E113" s="20">
        <v>46210</v>
      </c>
      <c r="F113" s="7" t="str">
        <f>IF(AND(G100="",H100=""),"Ganador 85",IF(G100="X",F100,I100))</f>
        <v>Ganador 85</v>
      </c>
      <c r="G113" s="7"/>
      <c r="H113" s="7"/>
      <c r="I113" s="7" t="str">
        <f>IF(AND(G102="",H102=""),"Ganador 87",IF(G102="X",F102,I102))</f>
        <v>Ganador 87</v>
      </c>
    </row>
    <row r="114" spans="4:9" x14ac:dyDescent="0.3">
      <c r="D114" s="35" t="s">
        <v>91</v>
      </c>
      <c r="E114" s="35"/>
      <c r="F114" s="35"/>
      <c r="G114" s="35"/>
      <c r="H114" s="35"/>
      <c r="I114" s="35"/>
    </row>
    <row r="115" spans="4:9" x14ac:dyDescent="0.3">
      <c r="D115" s="8" t="s">
        <v>0</v>
      </c>
      <c r="E115" s="8" t="s">
        <v>1</v>
      </c>
      <c r="F115" s="8" t="s">
        <v>70</v>
      </c>
      <c r="G115" s="34" t="s">
        <v>89</v>
      </c>
      <c r="H115" s="34"/>
      <c r="I115" s="8" t="s">
        <v>70</v>
      </c>
    </row>
    <row r="116" spans="4:9" x14ac:dyDescent="0.3">
      <c r="D116" s="8">
        <v>97</v>
      </c>
      <c r="E116" s="19">
        <v>46212</v>
      </c>
      <c r="F116" s="8" t="str">
        <f>IF(AND(G106="",H106=""),"Ganador 89",IF(G106="X",F106,I106))</f>
        <v>Ganador 89</v>
      </c>
      <c r="G116" s="8"/>
      <c r="H116" s="8"/>
      <c r="I116" s="8" t="str">
        <f>IF(AND(G107="",H107=""),"Ganador 90",IF(G107="X",F107,I107))</f>
        <v>Ganador 90</v>
      </c>
    </row>
    <row r="117" spans="4:9" x14ac:dyDescent="0.3">
      <c r="D117" s="8">
        <v>98</v>
      </c>
      <c r="E117" s="19">
        <v>46213</v>
      </c>
      <c r="F117" s="8" t="str">
        <f>IF(AND(G110="",H110=""),"Ganador 93",IF(G110="X",F110,I110))</f>
        <v>Ganador 93</v>
      </c>
      <c r="G117" s="8"/>
      <c r="H117" s="8"/>
      <c r="I117" s="8" t="str">
        <f>IF(AND(G111="",H111=""),"Ganador 94",IF(G111="X",F111,I111))</f>
        <v>Ganador 94</v>
      </c>
    </row>
    <row r="118" spans="4:9" x14ac:dyDescent="0.3">
      <c r="D118" s="8">
        <v>99</v>
      </c>
      <c r="E118" s="19">
        <v>46214</v>
      </c>
      <c r="F118" s="8" t="str">
        <f>IF(AND(G108="",H108=""),"Ganador 91",IF(G108="X",F108,I108))</f>
        <v>Ganador 91</v>
      </c>
      <c r="G118" s="8"/>
      <c r="H118" s="8"/>
      <c r="I118" s="8" t="str">
        <f>IF(AND(G109="",H109=""),"Ganador 92",IF(G109="X",F109,I109))</f>
        <v>Ganador 92</v>
      </c>
    </row>
    <row r="119" spans="4:9" x14ac:dyDescent="0.3">
      <c r="D119" s="8">
        <v>100</v>
      </c>
      <c r="E119" s="19">
        <v>46214</v>
      </c>
      <c r="F119" s="8" t="str">
        <f>IF(AND(G112="",H112=""),"Ganador 95",IF(G112="X",F112,I112))</f>
        <v>Ganador 95</v>
      </c>
      <c r="G119" s="8"/>
      <c r="H119" s="8"/>
      <c r="I119" s="8" t="str">
        <f>IF(AND(G113="",H113=""),"Ganador 96",IF(G113="X",F113,I113))</f>
        <v>Ganador 96</v>
      </c>
    </row>
    <row r="120" spans="4:9" x14ac:dyDescent="0.3">
      <c r="D120" s="35" t="s">
        <v>92</v>
      </c>
      <c r="E120" s="35"/>
      <c r="F120" s="35"/>
      <c r="G120" s="35"/>
      <c r="H120" s="35"/>
      <c r="I120" s="35"/>
    </row>
    <row r="121" spans="4:9" x14ac:dyDescent="0.3">
      <c r="D121" s="8" t="s">
        <v>0</v>
      </c>
      <c r="E121" s="8" t="s">
        <v>1</v>
      </c>
      <c r="F121" s="8" t="s">
        <v>70</v>
      </c>
      <c r="G121" s="34" t="s">
        <v>89</v>
      </c>
      <c r="H121" s="34"/>
      <c r="I121" s="8" t="s">
        <v>70</v>
      </c>
    </row>
    <row r="122" spans="4:9" x14ac:dyDescent="0.3">
      <c r="D122" s="8">
        <v>101</v>
      </c>
      <c r="E122" s="19">
        <v>46217</v>
      </c>
      <c r="F122" s="8" t="str">
        <f>IF(AND(G116="",H116=""),"Ganador 97",IF(G116="X",F116,I116))</f>
        <v>Ganador 97</v>
      </c>
      <c r="G122" s="8"/>
      <c r="H122" s="8"/>
      <c r="I122" s="8" t="str">
        <f>IF(AND(G117="",H117=""),"Ganador 98",IF(G117="X",F117,I117))</f>
        <v>Ganador 98</v>
      </c>
    </row>
    <row r="123" spans="4:9" x14ac:dyDescent="0.3">
      <c r="D123" s="8">
        <v>102</v>
      </c>
      <c r="E123" s="19">
        <v>46218</v>
      </c>
      <c r="F123" s="8" t="str">
        <f>IF(AND(G118="",H118=""),"Ganador 99",IF(G118="X",F118,I118))</f>
        <v>Ganador 99</v>
      </c>
      <c r="G123" s="8"/>
      <c r="H123" s="8"/>
      <c r="I123" s="8" t="str">
        <f>IF(AND(G119="",H119=""),"Ganador 100",IF(G119="X",F119,I119))</f>
        <v>Ganador 100</v>
      </c>
    </row>
    <row r="124" spans="4:9" x14ac:dyDescent="0.3">
      <c r="D124" s="35" t="s">
        <v>93</v>
      </c>
      <c r="E124" s="35"/>
      <c r="F124" s="35"/>
      <c r="G124" s="35"/>
      <c r="H124" s="35"/>
      <c r="I124" s="35"/>
    </row>
    <row r="125" spans="4:9" x14ac:dyDescent="0.3">
      <c r="D125" s="7">
        <v>103</v>
      </c>
      <c r="E125" s="20">
        <v>46221</v>
      </c>
      <c r="F125" s="7" t="str">
        <f>IF(AND(G122="",H122=""),"Perdedor 101",IF(G122="",F122,I122))</f>
        <v>Perdedor 101</v>
      </c>
      <c r="G125" s="7"/>
      <c r="H125" s="7"/>
      <c r="I125" s="7" t="str">
        <f>IF(AND(G123="",H123=""),"Perdedor 102",IF(G123="",F123,I123))</f>
        <v>Perdedor 102</v>
      </c>
    </row>
    <row r="126" spans="4:9" x14ac:dyDescent="0.3">
      <c r="D126" s="35" t="s">
        <v>94</v>
      </c>
      <c r="E126" s="35"/>
      <c r="F126" s="35"/>
      <c r="G126" s="35"/>
      <c r="H126" s="35"/>
      <c r="I126" s="35"/>
    </row>
    <row r="127" spans="4:9" x14ac:dyDescent="0.3">
      <c r="D127" s="7" t="s">
        <v>0</v>
      </c>
      <c r="E127" s="7" t="s">
        <v>1</v>
      </c>
      <c r="F127" s="7" t="s">
        <v>70</v>
      </c>
      <c r="G127" s="36" t="s">
        <v>89</v>
      </c>
      <c r="H127" s="36"/>
      <c r="I127" s="7" t="s">
        <v>70</v>
      </c>
    </row>
    <row r="128" spans="4:9" x14ac:dyDescent="0.3">
      <c r="D128" s="7">
        <v>104</v>
      </c>
      <c r="E128" s="20">
        <v>46222</v>
      </c>
      <c r="F128" s="7" t="str">
        <f>IF(AND(G122="",H122=""),"Ganador 101",IF(G122="X",F122,I122))</f>
        <v>Ganador 101</v>
      </c>
      <c r="G128" s="7"/>
      <c r="H128" s="7"/>
      <c r="I128" s="7" t="str">
        <f>IF(AND(G123="",H123=""),"Ganador 102",IF(G123="X",F123,I123))</f>
        <v>Ganador 102</v>
      </c>
    </row>
    <row r="130" spans="10:23" ht="33.6" x14ac:dyDescent="0.65">
      <c r="J130" s="27" t="s">
        <v>101</v>
      </c>
      <c r="K130" s="33" t="str">
        <f>IF(AND(G125="",H125=""),"Ganador 103",IF(G125="X",F125,I125))</f>
        <v>Ganador 103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4" spans="10:23" ht="33.6" x14ac:dyDescent="0.65">
      <c r="J134" s="27" t="s">
        <v>96</v>
      </c>
      <c r="K134" s="33" t="str">
        <f>IF(AND(G128="",H128=""),"Ganador 104",IF(G128="X",F128,I128))</f>
        <v>Ganador 104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</sheetData>
  <mergeCells count="37">
    <mergeCell ref="AH13:AP13"/>
    <mergeCell ref="X20:AF20"/>
    <mergeCell ref="G115:H115"/>
    <mergeCell ref="D120:I120"/>
    <mergeCell ref="X41:AF41"/>
    <mergeCell ref="AH41:AP41"/>
    <mergeCell ref="X48:AF48"/>
    <mergeCell ref="G87:H87"/>
    <mergeCell ref="D86:I86"/>
    <mergeCell ref="N55:V55"/>
    <mergeCell ref="N69:V69"/>
    <mergeCell ref="N62:V62"/>
    <mergeCell ref="N41:V41"/>
    <mergeCell ref="N48:V48"/>
    <mergeCell ref="AH48:AP48"/>
    <mergeCell ref="A1:BA3"/>
    <mergeCell ref="D6:K11"/>
    <mergeCell ref="G105:H105"/>
    <mergeCell ref="D104:I104"/>
    <mergeCell ref="D114:I114"/>
    <mergeCell ref="AH20:AP20"/>
    <mergeCell ref="X27:AF27"/>
    <mergeCell ref="AH27:AP27"/>
    <mergeCell ref="X34:AF34"/>
    <mergeCell ref="AH34:AP34"/>
    <mergeCell ref="AW13:BA13"/>
    <mergeCell ref="N13:V13"/>
    <mergeCell ref="N20:V20"/>
    <mergeCell ref="N27:V27"/>
    <mergeCell ref="N34:V34"/>
    <mergeCell ref="X13:AF13"/>
    <mergeCell ref="K134:W134"/>
    <mergeCell ref="K130:W130"/>
    <mergeCell ref="G121:H121"/>
    <mergeCell ref="D124:I124"/>
    <mergeCell ref="D126:I126"/>
    <mergeCell ref="G127:H127"/>
  </mergeCells>
  <dataValidations count="3">
    <dataValidation type="list" allowBlank="1" showInputMessage="1" showErrorMessage="1" error="DEbe marcar con una X" sqref="G88:H103" xr:uid="{A8F20205-40BE-4886-88D3-618820791548}">
      <formula1>"X"</formula1>
    </dataValidation>
    <dataValidation type="list" allowBlank="1" showInputMessage="1" showErrorMessage="1" error="DEbe marcar con X" sqref="G106:H113" xr:uid="{9B59D51C-C792-414A-8CE0-50F3565A865C}">
      <formula1>"X"</formula1>
    </dataValidation>
    <dataValidation type="list" allowBlank="1" showInputMessage="1" showErrorMessage="1" error="Debe marcar con X" sqref="G116:H119 G122:H123 G125:H125 G128:H128" xr:uid="{516DAF41-9EBF-476F-A6D4-CAC185AC248F}">
      <formula1>"X"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UTM</dc:creator>
  <cp:lastModifiedBy>UTM</cp:lastModifiedBy>
  <dcterms:created xsi:type="dcterms:W3CDTF">2026-04-01T15:44:48Z</dcterms:created>
  <dcterms:modified xsi:type="dcterms:W3CDTF">2026-04-10T16:50:01Z</dcterms:modified>
</cp:coreProperties>
</file>